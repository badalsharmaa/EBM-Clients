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ad Pipeline" sheetId="2" state="visible" r:id="rId2"/>
    <sheet name="Outreach Scripts &amp; Guides" sheetId="3" state="visible" r:id="rId3"/>
    <sheet name="30-60-90 Day Plan" sheetId="4" state="visible" r:id="rId4"/>
  </sheets>
  <definedNames>
    <definedName name="_xlnm._FilterDatabase" localSheetId="1" hidden="1">'Lead Pipeline'!$A$4:$T$34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475569"/>
      <sz val="10"/>
    </font>
    <font>
      <name val="Calibri"/>
      <b val="1"/>
      <color rgb="001E3A8A"/>
      <sz val="20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0F172A"/>
      <sz val="11"/>
    </font>
    <font>
      <name val="Calibri"/>
      <b val="1"/>
      <color rgb="001E3A8A"/>
      <sz val="11"/>
    </font>
    <font>
      <name val="Calibri"/>
      <i val="1"/>
      <color rgb="00334155"/>
      <sz val="10"/>
    </font>
    <font>
      <name val="Calibri"/>
      <color rgb="002563EB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1E3A8A"/>
      <sz val="12"/>
    </font>
  </fonts>
  <fills count="8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DFA"/>
        <bgColor rgb="00F0FDFA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13" fillId="7" borderId="1" pivotButton="0" quotePrefix="0" xfId="0"/>
    <xf numFmtId="0" fontId="8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4" customWidth="1" min="5" max="5"/>
    <col width="26" customWidth="1" min="6" max="6"/>
    <col width="12" customWidth="1" min="7" max="7"/>
    <col width="14" customWidth="1" min="8" max="8"/>
    <col width="4" customWidth="1" min="9" max="9"/>
  </cols>
  <sheetData>
    <row r="2">
      <c r="B2" s="1" t="inlineStr">
        <is>
          <t>EBM CLIENTS - EXECUTIVE CRM DASHBOARD</t>
        </is>
      </c>
    </row>
    <row r="3">
      <c r="B3" s="2" t="inlineStr">
        <is>
          <t>Real-time pipeline metrics &amp; outreach performance from 'Lead Pipeline' tab</t>
        </is>
      </c>
    </row>
    <row r="5">
      <c r="B5" s="3" t="inlineStr">
        <is>
          <t>Total Leads</t>
        </is>
      </c>
      <c r="C5" s="4" t="n"/>
      <c r="D5" s="3" t="inlineStr">
        <is>
          <t>Uncontacted</t>
        </is>
      </c>
      <c r="E5" s="4" t="n"/>
      <c r="F5" s="3" t="inlineStr">
        <is>
          <t>Contacted / In Progress</t>
        </is>
      </c>
      <c r="G5" s="4" t="n"/>
      <c r="H5" s="3" t="inlineStr">
        <is>
          <t>Won / Deals Closed</t>
        </is>
      </c>
      <c r="I5" s="4" t="n"/>
    </row>
    <row r="6">
      <c r="B6" s="5">
        <f>COUNTA('Lead Pipeline'!A5:A34)</f>
        <v/>
      </c>
      <c r="C6" s="4" t="n"/>
      <c r="D6" s="5">
        <f>COUNTIF('Lead Pipeline'!O5:O34, "1. Uncontacted")</f>
        <v/>
      </c>
      <c r="E6" s="4" t="n"/>
      <c r="F6" s="5">
        <f>COUNTIF('Lead Pipeline'!O5:O34, "2. Contacted") + COUNTIF('Lead Pipeline'!O5:O34, "3. Meeting Pitched") + COUNTIF('Lead Pipeline'!O5:O34, "4. Proposal Sent")</f>
        <v/>
      </c>
      <c r="G6" s="4" t="n"/>
      <c r="H6" s="5">
        <f>COUNTIF('Lead Pipeline'!O5:O34, "5. Closed - Won")</f>
        <v/>
      </c>
      <c r="I6" s="4" t="n"/>
    </row>
    <row r="9">
      <c r="B9" s="6" t="inlineStr">
        <is>
          <t>Lead Status Breakdown</t>
        </is>
      </c>
      <c r="F9" s="6" t="inlineStr">
        <is>
          <t>Industry Category Breakdown</t>
        </is>
      </c>
    </row>
    <row r="10">
      <c r="B10" s="7" t="inlineStr">
        <is>
          <t>Pipeline Stage</t>
        </is>
      </c>
      <c r="C10" s="7" t="inlineStr">
        <is>
          <t>Lead Count</t>
        </is>
      </c>
      <c r="D10" s="7" t="inlineStr">
        <is>
          <t>Share (%)</t>
        </is>
      </c>
      <c r="F10" s="7" t="inlineStr">
        <is>
          <t>Industry</t>
        </is>
      </c>
      <c r="G10" s="7" t="inlineStr">
        <is>
          <t>Count</t>
        </is>
      </c>
      <c r="H10" s="7" t="inlineStr">
        <is>
          <t>Share (%)</t>
        </is>
      </c>
    </row>
    <row r="11">
      <c r="B11" s="8" t="inlineStr">
        <is>
          <t>1. Uncontacted</t>
        </is>
      </c>
      <c r="C11" s="9">
        <f>COUNTIF('Lead Pipeline'!O$5:O$34, B11)</f>
        <v/>
      </c>
      <c r="D11" s="10">
        <f>C11/$C$17</f>
        <v/>
      </c>
      <c r="F11" s="8" t="inlineStr">
        <is>
          <t>Locks &amp; Hardware</t>
        </is>
      </c>
      <c r="G11" s="9">
        <f>COUNTIF('Lead Pipeline'!E$5:E$34, F11)</f>
        <v/>
      </c>
      <c r="H11" s="10">
        <f>G11/$G$16</f>
        <v/>
      </c>
    </row>
    <row r="12">
      <c r="B12" s="8" t="inlineStr">
        <is>
          <t>2. Contacted</t>
        </is>
      </c>
      <c r="C12" s="9">
        <f>COUNTIF('Lead Pipeline'!O$5:O$34, B12)</f>
        <v/>
      </c>
      <c r="D12" s="10">
        <f>C12/$C$17</f>
        <v/>
      </c>
      <c r="F12" s="8" t="inlineStr">
        <is>
          <t>Healthcare &amp; Hospitals</t>
        </is>
      </c>
      <c r="G12" s="9">
        <f>COUNTIF('Lead Pipeline'!E$5:E$34, F12)</f>
        <v/>
      </c>
      <c r="H12" s="10">
        <f>G12/$G$16</f>
        <v/>
      </c>
    </row>
    <row r="13">
      <c r="B13" s="8" t="inlineStr">
        <is>
          <t>3. Meeting Pitched</t>
        </is>
      </c>
      <c r="C13" s="9">
        <f>COUNTIF('Lead Pipeline'!O$5:O$34, B13)</f>
        <v/>
      </c>
      <c r="D13" s="10">
        <f>C13/$C$17</f>
        <v/>
      </c>
      <c r="F13" s="8" t="inlineStr">
        <is>
          <t>Logistics &amp; Transport</t>
        </is>
      </c>
      <c r="G13" s="9">
        <f>COUNTIF('Lead Pipeline'!E$5:E$34, F13)</f>
        <v/>
      </c>
      <c r="H13" s="10">
        <f>G13/$G$16</f>
        <v/>
      </c>
    </row>
    <row r="14">
      <c r="B14" s="8" t="inlineStr">
        <is>
          <t>4. Proposal Sent</t>
        </is>
      </c>
      <c r="C14" s="9">
        <f>COUNTIF('Lead Pipeline'!O$5:O$34, B14)</f>
        <v/>
      </c>
      <c r="D14" s="10">
        <f>C14/$C$17</f>
        <v/>
      </c>
      <c r="F14" s="8" t="inlineStr">
        <is>
          <t>Hospitality &amp; Hotels</t>
        </is>
      </c>
      <c r="G14" s="9">
        <f>COUNTIF('Lead Pipeline'!E$5:E$34, F14)</f>
        <v/>
      </c>
      <c r="H14" s="10">
        <f>G14/$G$16</f>
        <v/>
      </c>
    </row>
    <row r="15">
      <c r="B15" s="8" t="inlineStr">
        <is>
          <t>5. Closed - Won</t>
        </is>
      </c>
      <c r="C15" s="9">
        <f>COUNTIF('Lead Pipeline'!O$5:O$34, B15)</f>
        <v/>
      </c>
      <c r="D15" s="10">
        <f>C15/$C$17</f>
        <v/>
      </c>
      <c r="F15" s="8" t="inlineStr">
        <is>
          <t>Chemical &amp; Pharma</t>
        </is>
      </c>
      <c r="G15" s="9">
        <f>COUNTIF('Lead Pipeline'!E$5:E$34, F15)</f>
        <v/>
      </c>
      <c r="H15" s="10">
        <f>G15/$G$16</f>
        <v/>
      </c>
    </row>
    <row r="16">
      <c r="B16" s="8" t="inlineStr">
        <is>
          <t>6. Closed - Lost</t>
        </is>
      </c>
      <c r="C16" s="9">
        <f>COUNTIF('Lead Pipeline'!O$5:O$34, B16)</f>
        <v/>
      </c>
      <c r="D16" s="10">
        <f>C16/$C$17</f>
        <v/>
      </c>
      <c r="F16" s="11" t="inlineStr">
        <is>
          <t>Total</t>
        </is>
      </c>
      <c r="G16" s="12">
        <f>SUM(G11:G15)</f>
        <v/>
      </c>
      <c r="H16" s="13">
        <f>SUM(H11:H15)</f>
        <v/>
      </c>
    </row>
    <row r="17">
      <c r="B17" s="11" t="inlineStr">
        <is>
          <t>Total</t>
        </is>
      </c>
      <c r="C17" s="12">
        <f>SUM(C11:C16)</f>
        <v/>
      </c>
      <c r="D17" s="13">
        <f>SUM(D11:D16)</f>
        <v/>
      </c>
    </row>
    <row r="19">
      <c r="B19" s="14" t="inlineStr">
        <is>
          <t>HOW TO USE THIS WORKBOOK:</t>
        </is>
      </c>
    </row>
    <row r="20">
      <c r="B20" s="15" t="inlineStr">
        <is>
          <t>1. Go to the 'Lead Pipeline' tab to see all 30 enriched company accounts with email, website, and addresses.</t>
        </is>
      </c>
    </row>
    <row r="21">
      <c r="B21" s="15" t="inlineStr">
        <is>
          <t>2. Click the 'WhatsApp Direct' link in column R to immediately chat with decision makers.</t>
        </is>
      </c>
    </row>
    <row r="22">
      <c r="B22" s="15" t="inlineStr">
        <is>
          <t>3. Click the 'Website' link in column I to inspect each company's product catalog before calling.</t>
        </is>
      </c>
    </row>
    <row r="23">
      <c r="B23" s="15" t="inlineStr">
        <is>
          <t>4. Use the dropdown in 'Status' (Col O) and 'Priority' (Col P) to track your interaction stages.</t>
        </is>
      </c>
    </row>
    <row r="24">
      <c r="B24" s="15" t="inlineStr">
        <is>
          <t>5. Check the 'Outreach Scripts &amp; Guides' tab for ready-to-use Email, SMS, Call, and LinkedIn templates.</t>
        </is>
      </c>
    </row>
  </sheetData>
  <mergeCells count="10">
    <mergeCell ref="D6:E6"/>
    <mergeCell ref="B6:C6"/>
    <mergeCell ref="H6:I6"/>
    <mergeCell ref="B5:C5"/>
    <mergeCell ref="F5:G5"/>
    <mergeCell ref="D5:E5"/>
    <mergeCell ref="B9:D9"/>
    <mergeCell ref="F6:G6"/>
    <mergeCell ref="H5:I5"/>
    <mergeCell ref="F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26" customWidth="1" min="4" max="4"/>
    <col width="22" customWidth="1" min="5" max="5"/>
    <col width="20" customWidth="1" min="6" max="6"/>
    <col width="20" customWidth="1" min="7" max="7"/>
    <col width="26" customWidth="1" min="8" max="8"/>
    <col width="22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18" customWidth="1" min="15" max="15"/>
    <col width="12" customWidth="1" min="16" max="16"/>
    <col width="16" customWidth="1" min="17" max="17"/>
    <col width="22" customWidth="1" min="18" max="18"/>
    <col width="16" customWidth="1" min="19" max="19"/>
    <col width="32" customWidth="1" min="20" max="20"/>
  </cols>
  <sheetData>
    <row r="1">
      <c r="A1" s="1" t="inlineStr">
        <is>
          <t>EBM CLIENTS - ACTIVE ENRICHED OUTREACH PIPELINE</t>
        </is>
      </c>
    </row>
    <row r="2">
      <c r="A2" s="2" t="inlineStr">
        <is>
          <t>Master list of 30 prospective accounts with contact intelligence, verified decision makers, emails, and EBM pitches</t>
        </is>
      </c>
    </row>
    <row r="4">
      <c r="A4" s="7" t="inlineStr">
        <is>
          <t>Rank</t>
        </is>
      </c>
      <c r="B4" s="7" t="inlineStr">
        <is>
          <t>Company Name</t>
        </is>
      </c>
      <c r="C4" s="7" t="inlineStr">
        <is>
          <t>Operating Brand</t>
        </is>
      </c>
      <c r="D4" s="7" t="inlineStr">
        <is>
          <t>Decision Maker</t>
        </is>
      </c>
      <c r="E4" s="7" t="inlineStr">
        <is>
          <t>Industry Category</t>
        </is>
      </c>
      <c r="F4" s="7" t="inlineStr">
        <is>
          <t>Primary Mobile / WA</t>
        </is>
      </c>
      <c r="G4" s="7" t="inlineStr">
        <is>
          <t>Office Phone</t>
        </is>
      </c>
      <c r="H4" s="7" t="inlineStr">
        <is>
          <t>Email Address</t>
        </is>
      </c>
      <c r="I4" s="7" t="inlineStr">
        <is>
          <t>Official Website</t>
        </is>
      </c>
      <c r="J4" s="7" t="inlineStr">
        <is>
          <t>Aligarh Address</t>
        </is>
      </c>
      <c r="K4" s="7" t="inlineStr">
        <is>
          <t>Products / Offerings</t>
        </is>
      </c>
      <c r="L4" s="7" t="inlineStr">
        <is>
          <t>EBM Pitch Opportunity</t>
        </is>
      </c>
      <c r="M4" s="7" t="inlineStr">
        <is>
          <t>Identified Pain Point</t>
        </is>
      </c>
      <c r="N4" s="7" t="inlineStr">
        <is>
          <t>Outreach Hook</t>
        </is>
      </c>
      <c r="O4" s="7" t="inlineStr">
        <is>
          <t>Status</t>
        </is>
      </c>
      <c r="P4" s="7" t="inlineStr">
        <is>
          <t>Priority</t>
        </is>
      </c>
      <c r="Q4" s="7" t="inlineStr">
        <is>
          <t>Last Contact Date</t>
        </is>
      </c>
      <c r="R4" s="7" t="inlineStr">
        <is>
          <t>WhatsApp Direct</t>
        </is>
      </c>
      <c r="S4" s="7" t="inlineStr">
        <is>
          <t>Next Follow-up</t>
        </is>
      </c>
      <c r="T4" s="7" t="inlineStr">
        <is>
          <t>Notes &amp; Objections</t>
        </is>
      </c>
    </row>
    <row r="5">
      <c r="A5" s="16" t="n">
        <v>1</v>
      </c>
      <c r="B5" s="17" t="inlineStr">
        <is>
          <t>DUKE LOCKS</t>
        </is>
      </c>
      <c r="C5" s="17" t="inlineStr">
        <is>
          <t>Duke Locks (Adarsh Industries)</t>
        </is>
      </c>
      <c r="D5" s="17" t="inlineStr">
        <is>
          <t>Pramod Kumar (Management - Adarsh Industries)</t>
        </is>
      </c>
      <c r="E5" s="16" t="inlineStr">
        <is>
          <t>Locks &amp; Hardware</t>
        </is>
      </c>
      <c r="F5" s="16" t="inlineStr">
        <is>
          <t>+91 99996 26676</t>
        </is>
      </c>
      <c r="G5" s="16" t="inlineStr">
        <is>
          <t>+91 571 2780166 / +91 98374 29009</t>
        </is>
      </c>
      <c r="H5" s="17">
        <f>HYPERLINK("mailto:info@dukelocks.in", "info@dukelocks.in")</f>
        <v/>
      </c>
      <c r="I5" s="16">
        <f>HYPERLINK("https://dukelocks.in", "dukelocks.in")</f>
        <v/>
      </c>
      <c r="J5" s="17" t="inlineStr">
        <is>
          <t>C-226, Sector-2, Tala Nagri, Ramghat Road, Aligarh - 202001, UP</t>
        </is>
      </c>
      <c r="K5" s="17" t="inlineStr">
        <is>
          <t>Mortice locks, main door locks, shutter locks, cupboard locks, door hardware</t>
        </is>
      </c>
      <c r="L5" s="17" t="inlineStr">
        <is>
          <t>Dealer CRM + sales automation + digital catalog &amp; distributor portal</t>
        </is>
      </c>
      <c r="M5" s="17" t="inlineStr">
        <is>
          <t>Managing a large dealer distribution network manually across North India with delayed order updates</t>
        </is>
      </c>
      <c r="N5" s="17" t="inlineStr">
        <is>
          <t>Automate dealer re-orders, digital catalog sharing on WhatsApp, and trade portal lead centralization.</t>
        </is>
      </c>
      <c r="O5" s="16" t="inlineStr">
        <is>
          <t>1. Uncontacted</t>
        </is>
      </c>
      <c r="P5" s="16" t="inlineStr">
        <is>
          <t>High</t>
        </is>
      </c>
      <c r="Q5" s="16" t="inlineStr"/>
      <c r="R5" s="16">
        <f>HYPERLINK("https://wa.me/919999626676?text=Namaste%20Pramod%20Kumar%2C%20Badal%20here%20from%20EBM%20Solutions%20Aligarh.%20Regarding%20DUKE%20LOCKS%3A%20we%20specialize%20in%20Dealer%20CRM%20%2B%20sales%20automation%20%2B%20digital%20catalog%20%26%20distributor%20portal.%20Would%20you%20be%20open%20for%20a%20quick%205-min%20discussion%20this%20week%3F%20%28Reply%20STOP%20to%20opt%20out%29", "💬 Chat on WhatsApp")</f>
        <v/>
      </c>
      <c r="S5" s="16" t="inlineStr"/>
      <c r="T5" s="17" t="inlineStr"/>
    </row>
    <row r="6">
      <c r="A6" s="18" t="n">
        <v>2</v>
      </c>
      <c r="B6" s="19" t="inlineStr">
        <is>
          <t>EURO INDIA</t>
        </is>
      </c>
      <c r="C6" s="19" t="inlineStr">
        <is>
          <t>Euro India Architectural Hardware</t>
        </is>
      </c>
      <c r="D6" s="19" t="inlineStr">
        <is>
          <t>Sachin Garg (Managing Director)</t>
        </is>
      </c>
      <c r="E6" s="18" t="inlineStr">
        <is>
          <t>Locks &amp; Hardware</t>
        </is>
      </c>
      <c r="F6" s="18" t="inlineStr">
        <is>
          <t>+91 95944 81782</t>
        </is>
      </c>
      <c r="G6" s="18" t="inlineStr">
        <is>
          <t>+91 88817 80603</t>
        </is>
      </c>
      <c r="H6" s="19">
        <f>HYPERLINK("mailto:info@euroindia.in", "info@euroindia.in")</f>
        <v/>
      </c>
      <c r="I6" s="18">
        <f>HYPERLINK("https://euroindia.in", "euroindia.in")</f>
        <v/>
      </c>
      <c r="J6" s="19" t="inlineStr">
        <is>
          <t>A-9, Sector-1, Talanagri, Ramghat Road, Aligarh - 202001, UP</t>
        </is>
      </c>
      <c r="K6" s="19" t="inlineStr">
        <is>
          <t>Architectural hardware, premium mortise handles, pull handles, aldrops, brass fittings</t>
        </is>
      </c>
      <c r="L6" s="19" t="inlineStr">
        <is>
          <t>B2B CRM + dealer management + interactive digital catalogue</t>
        </is>
      </c>
      <c r="M6" s="19" t="inlineStr">
        <is>
          <t>Architecture and interior design leads need high-resolution interactive catalogs and prompt quote generation</t>
        </is>
      </c>
      <c r="N6" s="19" t="inlineStr">
        <is>
          <t>Enable instant PDF/digital brochure delivery over WhatsApp and direct architect lead tracking.</t>
        </is>
      </c>
      <c r="O6" s="18" t="inlineStr">
        <is>
          <t>1. Uncontacted</t>
        </is>
      </c>
      <c r="P6" s="18" t="inlineStr">
        <is>
          <t>High</t>
        </is>
      </c>
      <c r="Q6" s="18" t="inlineStr"/>
      <c r="R6" s="18">
        <f>HYPERLINK("https://wa.me/919594481782?text=Namaste%20Sachin%20Garg%2C%20Badal%20here%20from%20EBM%20Solutions%20Aligarh.%20Regarding%20EURO%20INDIA%3A%20we%20specialize%20in%20B2B%20CRM%20%2B%20dealer%20management%20%2B%20interactive%20digital%20catalogue.%20Would%20you%20be%20open%20for%20a%20quick%205-min%20discussion%20this%20week%3F%20%28Reply%20STOP%20to%20opt%20out%29", "💬 Chat on WhatsApp")</f>
        <v/>
      </c>
      <c r="S6" s="18" t="inlineStr"/>
      <c r="T6" s="19" t="inlineStr"/>
    </row>
    <row r="7">
      <c r="A7" s="16" t="n">
        <v>3</v>
      </c>
      <c r="B7" s="17" t="inlineStr">
        <is>
          <t>Atom Lock (Wolf Enterprises) - Manufacturer in Aligarh</t>
        </is>
      </c>
      <c r="C7" s="17" t="inlineStr">
        <is>
          <t>Atom Lock (Wolf Enterprises)</t>
        </is>
      </c>
      <c r="D7" s="17" t="inlineStr">
        <is>
          <t>Naveen Brijwasi (Founder &amp; CEO)</t>
        </is>
      </c>
      <c r="E7" s="16" t="inlineStr">
        <is>
          <t>Locks &amp; Hardware</t>
        </is>
      </c>
      <c r="F7" s="16" t="inlineStr">
        <is>
          <t>+91 94122 73735</t>
        </is>
      </c>
      <c r="G7" s="16" t="inlineStr">
        <is>
          <t>+91 571 2780300</t>
        </is>
      </c>
      <c r="H7" s="17">
        <f>HYPERLINK("mailto:info@atomlock.in", "info@atomlock.in")</f>
        <v/>
      </c>
      <c r="I7" s="16">
        <f>HYPERLINK("https://atomlock.in", "atomlock.in")</f>
        <v/>
      </c>
      <c r="J7" s="17" t="inlineStr">
        <is>
          <t>Talanagri Industrial Area, Ramghat Road, Aligarh - 202001, UP</t>
        </is>
      </c>
      <c r="K7" s="17" t="inlineStr">
        <is>
          <t>Smart door locks, mortise door locks, digital locks, cabinet handles, door closers (46+ categories)</t>
        </is>
      </c>
      <c r="L7" s="17" t="inlineStr">
        <is>
          <t>AI sales automation + multi-channel CRM + distributor order portal</t>
        </is>
      </c>
      <c r="M7" s="17" t="inlineStr">
        <is>
          <t>Fast-growing brand scaling across e-commerce (Amazon/Flipkart) and offline retail simultaneously</t>
        </is>
      </c>
      <c r="N7" s="17" t="inlineStr">
        <is>
          <t>Centralize multi-channel buyer inquiries and automate dealer warranty and after-sales tickets.</t>
        </is>
      </c>
      <c r="O7" s="16" t="inlineStr">
        <is>
          <t>1. Uncontacted</t>
        </is>
      </c>
      <c r="P7" s="16" t="inlineStr">
        <is>
          <t>High</t>
        </is>
      </c>
      <c r="Q7" s="16" t="inlineStr"/>
      <c r="R7" s="16">
        <f>HYPERLINK("https://wa.me/919412273735?text=Namaste%20Naveen%20Brijwasi%2C%20Badal%20here%20from%20EBM%20Solutions%20Aligarh.%20Regarding%20Atom%20Lock%20%28Wolf%20Enterprises%29%20-%20Manufacturer%20in%20Aligarh%3A%20we%20specialize%20in%20AI%20sales%20automation%20%2B%20multi-channel%20CRM%20%2B%20distributor%20order%20portal.%20Would%20you%20be%20open%20for%20a%20quick%205-min%20discussion%20this%20week%3F%20%28Reply%20STOP%20to%20opt%20out%29", "💬 Chat on WhatsApp")</f>
        <v/>
      </c>
      <c r="S7" s="16" t="inlineStr"/>
      <c r="T7" s="17" t="inlineStr"/>
    </row>
    <row r="8">
      <c r="A8" s="18" t="n">
        <v>4</v>
      </c>
      <c r="B8" s="19" t="inlineStr">
        <is>
          <t>EURO INDIA - Manufacturer of Architectural Hardware</t>
        </is>
      </c>
      <c r="C8" s="19" t="inlineStr">
        <is>
          <t>Euro India Hardware Division</t>
        </is>
      </c>
      <c r="D8" s="19" t="inlineStr">
        <is>
          <t>Director of Sales &amp; Distribution</t>
        </is>
      </c>
      <c r="E8" s="18" t="inlineStr">
        <is>
          <t>Locks &amp; Hardware</t>
        </is>
      </c>
      <c r="F8" s="18" t="inlineStr">
        <is>
          <t>+91 95944 81782</t>
        </is>
      </c>
      <c r="G8" s="18" t="inlineStr">
        <is>
          <t>+91 88817 80603</t>
        </is>
      </c>
      <c r="H8" s="19">
        <f>HYPERLINK("mailto:customercare@euroindia.in", "customercare@euroindia.in")</f>
        <v/>
      </c>
      <c r="I8" s="18">
        <f>HYPERLINK("https://euroindia.in", "euroindia.in")</f>
        <v/>
      </c>
      <c r="J8" s="19" t="inlineStr">
        <is>
          <t>A-9, Sector-1, Talanagri, Ramghat Road, Aligarh - 202001, UP</t>
        </is>
      </c>
      <c r="K8" s="19" t="inlineStr">
        <is>
          <t>Commercial project door hardware, brass pull handles, locks, tower bolts</t>
        </is>
      </c>
      <c r="L8" s="19" t="inlineStr">
        <is>
          <t>Dealer CRM + project quote automation + dispatch analytics</t>
        </is>
      </c>
      <c r="M8" s="19" t="inlineStr">
        <is>
          <t>Quotations for bulk building contractors take days to compute and follow up manually</t>
        </is>
      </c>
      <c r="N8" s="19" t="inlineStr">
        <is>
          <t>Automated pricing matrix &amp; CRM to close builder project quotes 3x faster.</t>
        </is>
      </c>
      <c r="O8" s="18" t="inlineStr">
        <is>
          <t>1. Uncontacted</t>
        </is>
      </c>
      <c r="P8" s="18" t="inlineStr">
        <is>
          <t>High</t>
        </is>
      </c>
      <c r="Q8" s="18" t="inlineStr"/>
      <c r="R8" s="18">
        <f>HYPERLINK("https://wa.me/919594481782?text=Namaste%20Director%20of%20Sales%20%26%20Distribution%2C%20Badal%20here%20from%20EBM%20Solutions%20Aligarh.%20Regarding%20EURO%20INDIA%20-%20Manufacturer%20of%20Architectural%20Hardware%3A%20we%20specialize%20in%20Dealer%20CRM%20%2B%20project%20quote%20automation%20%2B%20dispatch%20analytics.%20Would%20you%20be%20open%20for%20a%20quick%205-min%20discussion%20this%20week%3F%20%28Reply%20STOP%20to%20opt%20out%29", "💬 Chat on WhatsApp")</f>
        <v/>
      </c>
      <c r="S8" s="18" t="inlineStr"/>
      <c r="T8" s="19" t="inlineStr"/>
    </row>
    <row r="9">
      <c r="A9" s="16" t="n">
        <v>5</v>
      </c>
      <c r="B9" s="17" t="inlineStr">
        <is>
          <t>Ashoka Locks</t>
        </is>
      </c>
      <c r="C9" s="17" t="inlineStr">
        <is>
          <t>Ashoka Locks</t>
        </is>
      </c>
      <c r="D9" s="17" t="inlineStr">
        <is>
          <t>Ashish Agarwal (Director / Proprietor)</t>
        </is>
      </c>
      <c r="E9" s="16" t="inlineStr">
        <is>
          <t>Locks &amp; Hardware</t>
        </is>
      </c>
      <c r="F9" s="16" t="inlineStr">
        <is>
          <t>+91 98975 47024</t>
        </is>
      </c>
      <c r="G9" s="16" t="inlineStr">
        <is>
          <t>+91 571 3551364</t>
        </is>
      </c>
      <c r="H9" s="17">
        <f>HYPERLINK("mailto:ashish@ashokalocks.com", "ashish@ashokalocks.com")</f>
        <v/>
      </c>
      <c r="I9" s="16">
        <f>HYPERLINK("https://ashokalocks.com", "ashokalocks.com")</f>
        <v/>
      </c>
      <c r="J9" s="17" t="inlineStr">
        <is>
          <t>5/84, Opp. Purnagiri Temple, I.T.I. Road, Aligarh - 202001, UP</t>
        </is>
      </c>
      <c r="K9" s="17" t="inlineStr">
        <is>
          <t>Industrial hardware, quarter-turn locks, canopy locks, compression locks, hinges &amp; handles</t>
        </is>
      </c>
      <c r="L9" s="17" t="inlineStr">
        <is>
          <t>Export CRM + AI enquiry automation + B2B quote pipeline</t>
        </is>
      </c>
      <c r="M9" s="17" t="inlineStr">
        <is>
          <t>Inquiries from IndiaMART, website, and export portals take too long to answer manually</t>
        </is>
      </c>
      <c r="N9" s="17" t="inlineStr">
        <is>
          <t>Instant 24/7 WhatsApp catalogue response for incoming B2B buyer leads.</t>
        </is>
      </c>
      <c r="O9" s="16" t="inlineStr">
        <is>
          <t>1. Uncontacted</t>
        </is>
      </c>
      <c r="P9" s="16" t="inlineStr">
        <is>
          <t>High</t>
        </is>
      </c>
      <c r="Q9" s="16" t="inlineStr"/>
      <c r="R9" s="16">
        <f>HYPERLINK("https://wa.me/919897547024?text=Namaste%20Ashish%20Agarwal%2C%20Badal%20here%20from%20EBM%20Solutions%20Aligarh.%20Regarding%20Ashoka%20Locks%3A%20we%20specialize%20in%20Export%20CRM%20%2B%20AI%20enquiry%20automation%20%2B%20B2B%20quote%20pipeline.%20Would%20you%20be%20open%20for%20a%20quick%205-min%20discussion%20this%20week%3F%20%28Reply%20STOP%20to%20opt%20out%29", "💬 Chat on WhatsApp")</f>
        <v/>
      </c>
      <c r="S9" s="16" t="inlineStr"/>
      <c r="T9" s="17" t="inlineStr"/>
    </row>
    <row r="10">
      <c r="A10" s="18" t="n">
        <v>6</v>
      </c>
      <c r="B10" s="19" t="inlineStr">
        <is>
          <t>Yamuna Exports</t>
        </is>
      </c>
      <c r="C10" s="19" t="inlineStr">
        <is>
          <t>Yamuna Exports</t>
        </is>
      </c>
      <c r="D10" s="19" t="inlineStr">
        <is>
          <t>Pawan Kumar (Proprietor)</t>
        </is>
      </c>
      <c r="E10" s="18" t="inlineStr">
        <is>
          <t>Locks &amp; Hardware</t>
        </is>
      </c>
      <c r="F10" s="18" t="inlineStr">
        <is>
          <t>+91 99270 14542</t>
        </is>
      </c>
      <c r="G10" s="18" t="inlineStr">
        <is>
          <t>+91 92196 16689</t>
        </is>
      </c>
      <c r="H10" s="19">
        <f>HYPERLINK("mailto:info@yamunaexports.com", "info@yamunaexports.com")</f>
        <v/>
      </c>
      <c r="I10" s="18">
        <f>HYPERLINK("http://www.yamunaexports.com", "yamunaexports.com")</f>
        <v/>
      </c>
      <c r="J10" s="19" t="inlineStr">
        <is>
          <t>C-92, Sector-1, UPSIDC, Talanagri Industrial Estate, Ramghat Road, Aligarh - 202001, UP</t>
        </is>
      </c>
      <c r="K10" s="19" t="inlineStr">
        <is>
          <t>Architectural hardware, door knobs, window locks, designer bell pushes, brass &amp; stainless fittings</t>
        </is>
      </c>
      <c r="L10" s="19" t="inlineStr">
        <is>
          <t>Export CRM + production/dispatch dashboard + multi-currency quotation system</t>
        </is>
      </c>
      <c r="M10" s="19" t="inlineStr">
        <is>
          <t>Export buyers across US/Europe require immediate spec sheets, sample tracking, and shipment milestones</t>
        </is>
      </c>
      <c r="N10" s="19" t="inlineStr">
        <is>
          <t>Streamline export sampling, proforma invoice follow-ups, and international buyer communications.</t>
        </is>
      </c>
      <c r="O10" s="18" t="inlineStr">
        <is>
          <t>1. Uncontacted</t>
        </is>
      </c>
      <c r="P10" s="18" t="inlineStr">
        <is>
          <t>High</t>
        </is>
      </c>
      <c r="Q10" s="18" t="inlineStr"/>
      <c r="R10" s="18">
        <f>HYPERLINK("https://wa.me/919927014542?text=Namaste%20Pawan%20Kumar%2C%20Badal%20here%20from%20EBM%20Solutions%20Aligarh.%20Regarding%20Yamuna%20Exports%3A%20we%20specialize%20in%20Export%20CRM%20%2B%20production/dispatch%20dashboard%20%2B%20multi-currency%20quotation%20system.%20Would%20you%20be%20open%20for%20a%20quick%205-min%20discussion%20this%20week%3F%20%28Reply%20STOP%20to%20opt%20out%29", "💬 Chat on WhatsApp")</f>
        <v/>
      </c>
      <c r="S10" s="18" t="inlineStr"/>
      <c r="T10" s="19" t="inlineStr"/>
    </row>
    <row r="11">
      <c r="A11" s="16" t="n">
        <v>7</v>
      </c>
      <c r="B11" s="17" t="inlineStr">
        <is>
          <t>Laxmi Locks India</t>
        </is>
      </c>
      <c r="C11" s="17" t="inlineStr">
        <is>
          <t>Laxmi Locks India (Laxmi Udyog)</t>
        </is>
      </c>
      <c r="D11" s="17" t="inlineStr">
        <is>
          <t>Karan Agrawal (Partner / Director)</t>
        </is>
      </c>
      <c r="E11" s="16" t="inlineStr">
        <is>
          <t>Locks &amp; Hardware</t>
        </is>
      </c>
      <c r="F11" s="16" t="inlineStr">
        <is>
          <t>+91 98379 94940</t>
        </is>
      </c>
      <c r="G11" s="16" t="inlineStr">
        <is>
          <t>+91 571 2400325</t>
        </is>
      </c>
      <c r="H11" s="17">
        <f>HYPERLINK("mailto:laxmiudyog@gmail.com", "laxmiudyog@gmail.com")</f>
        <v/>
      </c>
      <c r="I11" s="16">
        <f>HYPERLINK("https://laxmilocksindia.com", "laxmilocksindia.com")</f>
        <v/>
      </c>
      <c r="J11" s="17" t="inlineStr">
        <is>
          <t>8/4 A, Johnson Compound, Jail Road, Aligarh - 202001, UP</t>
        </is>
      </c>
      <c r="K11" s="17" t="inlineStr">
        <is>
          <t>Heritage mortise locks, padlocks, iron/brass hardware (established 1957)</t>
        </is>
      </c>
      <c r="L11" s="17" t="inlineStr">
        <is>
          <t>Digital catalogue + dealer re-ordering portal + modern B2B lead CRM</t>
        </is>
      </c>
      <c r="M11" s="17" t="inlineStr">
        <is>
          <t>Traditional legacy brand needing to digitize its distributor communications and order logging</t>
        </is>
      </c>
      <c r="N11" s="17" t="inlineStr">
        <is>
          <t>Upgrade dealer phone ordering into a seamless mobile WhatsApp catalog system.</t>
        </is>
      </c>
      <c r="O11" s="16" t="inlineStr">
        <is>
          <t>1. Uncontacted</t>
        </is>
      </c>
      <c r="P11" s="16" t="inlineStr">
        <is>
          <t>High</t>
        </is>
      </c>
      <c r="Q11" s="16" t="inlineStr"/>
      <c r="R11" s="16">
        <f>HYPERLINK("https://wa.me/919837994940?text=Namaste%20Karan%20Agrawal%2C%20Badal%20here%20from%20EBM%20Solutions%20Aligarh.%20Regarding%20Laxmi%20Locks%20India%3A%20we%20specialize%20in%20Digital%20catalogue%20%2B%20dealer%20re-ordering%20portal%20%2B%20modern%20B2B%20lead%20CRM.%20Would%20you%20be%20open%20for%20a%20quick%205-min%20discussion%20this%20week%3F%20%28Reply%20STOP%20to%20opt%20out%29", "💬 Chat on WhatsApp")</f>
        <v/>
      </c>
      <c r="S11" s="16" t="inlineStr"/>
      <c r="T11" s="17" t="inlineStr"/>
    </row>
    <row r="12">
      <c r="A12" s="18" t="n">
        <v>8</v>
      </c>
      <c r="B12" s="19" t="inlineStr">
        <is>
          <t>Agon / Sachin Manufacturing Company</t>
        </is>
      </c>
      <c r="C12" s="19" t="inlineStr">
        <is>
          <t>Agon Locks (Sachin Manufacturing Co.)</t>
        </is>
      </c>
      <c r="D12" s="19" t="inlineStr">
        <is>
          <t>Kanti Kumar Agrawal / Praveen Agrawal / Akash Agrawal</t>
        </is>
      </c>
      <c r="E12" s="18" t="inlineStr">
        <is>
          <t>Locks &amp; Hardware</t>
        </is>
      </c>
      <c r="F12" s="18" t="inlineStr">
        <is>
          <t>+91 92196 57850</t>
        </is>
      </c>
      <c r="G12" s="18" t="inlineStr">
        <is>
          <t>+91 75360 08008 / +91 79063 52046</t>
        </is>
      </c>
      <c r="H12" s="19">
        <f>HYPERLINK("mailto:sachinmfg@gmail.com", "sachinmfg@gmail.com")</f>
        <v/>
      </c>
      <c r="I12" s="18">
        <f>HYPERLINK("http://www.agonlocks.com", "agonlocks.com")</f>
        <v/>
      </c>
      <c r="J12" s="19" t="inlineStr">
        <is>
          <t>Rasal Ganj, Aligarh - 202001, UP</t>
        </is>
      </c>
      <c r="K12" s="19" t="inlineStr">
        <is>
          <t>Agon mortise locks, multipurpose locks, furniture locks, handles</t>
        </is>
      </c>
      <c r="L12" s="19" t="inlineStr">
        <is>
          <t>Manufacturing dashboard + dealer CRM + warranty tracking automation</t>
        </is>
      </c>
      <c r="M12" s="19" t="inlineStr">
        <is>
          <t>Multiple partners managing operations across production and retail distribution</t>
        </is>
      </c>
      <c r="N12" s="19" t="inlineStr">
        <is>
          <t>Unified dashboard tracking dealer dispatches, pending payments, and stock inquiries.</t>
        </is>
      </c>
      <c r="O12" s="18" t="inlineStr">
        <is>
          <t>1. Uncontacted</t>
        </is>
      </c>
      <c r="P12" s="18" t="inlineStr">
        <is>
          <t>High</t>
        </is>
      </c>
      <c r="Q12" s="18" t="inlineStr"/>
      <c r="R12" s="18">
        <f>HYPERLINK("https://wa.me/919219657850?text=Namaste%20Kanti%20Kumar%20Agrawal%2C%20Badal%20here%20from%20EBM%20Solutions%20Aligarh.%20Regarding%20Agon%20/%20Sachin%20Manufacturing%20Company%3A%20we%20specialize%20in%20Manufacturing%20dashboard%20%2B%20dealer%20CRM%20%2B%20warranty%20tracking%20automation.%20Would%20you%20be%20open%20for%20a%20quick%205-min%20discussion%20this%20week%3F%20%28Reply%20STOP%20to%20opt%20out%29", "💬 Chat on WhatsApp")</f>
        <v/>
      </c>
      <c r="S12" s="18" t="inlineStr"/>
      <c r="T12" s="19" t="inlineStr"/>
    </row>
    <row r="13">
      <c r="A13" s="16" t="n">
        <v>9</v>
      </c>
      <c r="B13" s="17" t="inlineStr">
        <is>
          <t>Scientific Lock Industries</t>
        </is>
      </c>
      <c r="C13" s="17" t="inlineStr">
        <is>
          <t>Scientific Lock Industries</t>
        </is>
      </c>
      <c r="D13" s="17" t="inlineStr">
        <is>
          <t>Amit Kumar / Sunil Kumar (Partners)</t>
        </is>
      </c>
      <c r="E13" s="16" t="inlineStr">
        <is>
          <t>Locks &amp; Hardware</t>
        </is>
      </c>
      <c r="F13" s="16" t="inlineStr">
        <is>
          <t>+91 94114 14164</t>
        </is>
      </c>
      <c r="G13" s="16" t="inlineStr">
        <is>
          <t>+91 94125 95654</t>
        </is>
      </c>
      <c r="H13" s="17">
        <f>HYPERLINK("mailto:scientificlocks@gmail.com", "scientificlocks@gmail.com")</f>
        <v/>
      </c>
      <c r="I13" s="16">
        <f>HYPERLINK("https://www.indiamart.com/scientificlockindustries/", "indiamart.com")</f>
        <v/>
      </c>
      <c r="J13" s="17" t="inlineStr">
        <is>
          <t>Sarai Sultani, Aligarh - 202001, UP</t>
        </is>
      </c>
      <c r="K13" s="17" t="inlineStr">
        <is>
          <t>Specialized shutter locks, brass padlocks, rim locks, cabinet security locks</t>
        </is>
      </c>
      <c r="L13" s="17" t="inlineStr">
        <is>
          <t>Order management + automated B2B lead capture + inquiry analytics</t>
        </is>
      </c>
      <c r="M13" s="17" t="inlineStr">
        <is>
          <t>High volume of wholesale inquiries from trade portals without automated capture</t>
        </is>
      </c>
      <c r="N13" s="17" t="inlineStr">
        <is>
          <t>Auto-import IndiaMART leads into CRM and trigger instant WhatsApp follow-up.</t>
        </is>
      </c>
      <c r="O13" s="16" t="inlineStr">
        <is>
          <t>1. Uncontacted</t>
        </is>
      </c>
      <c r="P13" s="16" t="inlineStr">
        <is>
          <t>High</t>
        </is>
      </c>
      <c r="Q13" s="16" t="inlineStr"/>
      <c r="R13" s="16">
        <f>HYPERLINK("https://wa.me/919411414164?text=Namaste%20Amit%20Kumar%2C%20Badal%20here%20from%20EBM%20Solutions%20Aligarh.%20Regarding%20Scientific%20Lock%20Industries%3A%20we%20specialize%20in%20Order%20management%20%2B%20automated%20B2B%20lead%20capture%20%2B%20inquiry%20analytics.%20Would%20you%20be%20open%20for%20a%20quick%205-min%20discussion%20this%20week%3F%20%28Reply%20STOP%20to%20opt%20out%29", "💬 Chat on WhatsApp")</f>
        <v/>
      </c>
      <c r="S13" s="16" t="inlineStr"/>
      <c r="T13" s="17" t="inlineStr"/>
    </row>
    <row r="14">
      <c r="A14" s="18" t="n">
        <v>10</v>
      </c>
      <c r="B14" s="19" t="inlineStr">
        <is>
          <t>Locks &amp; Locking Devices India / VIJAYAN</t>
        </is>
      </c>
      <c r="C14" s="19" t="inlineStr">
        <is>
          <t>Locks &amp; Locking Devices India (VIJAYAN)</t>
        </is>
      </c>
      <c r="D14" s="19" t="inlineStr">
        <is>
          <t>Eshank Bansal (Director)</t>
        </is>
      </c>
      <c r="E14" s="18" t="inlineStr">
        <is>
          <t>Locks &amp; Hardware</t>
        </is>
      </c>
      <c r="F14" s="18" t="inlineStr">
        <is>
          <t>+91 99977 77354</t>
        </is>
      </c>
      <c r="G14" s="18" t="inlineStr">
        <is>
          <t>+91 75358 10000 / +91 98377 88111</t>
        </is>
      </c>
      <c r="H14" s="19">
        <f>HYPERLINK("mailto:info@vijayanlocks.co.in", "info@vijayanlocks.co.in")</f>
        <v/>
      </c>
      <c r="I14" s="18">
        <f>HYPERLINK("https://www.vijayanlocks.co.in", "vijayanlocks.co.in")</f>
        <v/>
      </c>
      <c r="J14" s="19" t="inlineStr">
        <is>
          <t>5/536, B-19, Agarwal Street, Shakti Nagar, Goolar Road, Aligarh - 202001, UP</t>
        </is>
      </c>
      <c r="K14" s="19" t="inlineStr">
        <is>
          <t>Vijayan cylindrical locks, mortise locksets, stainless steel architectural fittings</t>
        </is>
      </c>
      <c r="L14" s="19" t="inlineStr">
        <is>
          <t>Digital sales + CRM + export lead generation + distribution analytics</t>
        </is>
      </c>
      <c r="M14" s="19" t="inlineStr">
        <is>
          <t>Fast-moving SKU range requiring real-time inventory visibility for distributors</t>
        </is>
      </c>
      <c r="N14" s="19" t="inlineStr">
        <is>
          <t>Smart digital distributor catalog with live stock inquiry automation.</t>
        </is>
      </c>
      <c r="O14" s="18" t="inlineStr">
        <is>
          <t>1. Uncontacted</t>
        </is>
      </c>
      <c r="P14" s="18" t="inlineStr">
        <is>
          <t>High</t>
        </is>
      </c>
      <c r="Q14" s="18" t="inlineStr"/>
      <c r="R14" s="18">
        <f>HYPERLINK("https://wa.me/919997777354?text=Namaste%20Eshank%20Bansal%2C%20Badal%20here%20from%20EBM%20Solutions%20Aligarh.%20Regarding%20Locks%20%26%20Locking%20Devices%20India%20/%20VIJAYAN%3A%20we%20specialize%20in%20Digital%20sales%20%2B%20CRM%20%2B%20export%20lead%20generation%20%2B%20distribution%20analytics.%20Would%20you%20be%20open%20for%20a%20quick%205-min%20discussion%20this%20week%3F%20%28Reply%20STOP%20to%20opt%20out%29", "💬 Chat on WhatsApp")</f>
        <v/>
      </c>
      <c r="S14" s="18" t="inlineStr"/>
      <c r="T14" s="19" t="inlineStr"/>
    </row>
    <row r="15">
      <c r="A15" s="16" t="n">
        <v>11</v>
      </c>
      <c r="B15" s="17" t="inlineStr">
        <is>
          <t>Lico Lock</t>
        </is>
      </c>
      <c r="C15" s="17" t="inlineStr">
        <is>
          <t>Lico Locks &amp; Hardware</t>
        </is>
      </c>
      <c r="D15" s="17" t="inlineStr">
        <is>
          <t>Mayank Bansal (Proprietor)</t>
        </is>
      </c>
      <c r="E15" s="16" t="inlineStr">
        <is>
          <t>Locks &amp; Hardware</t>
        </is>
      </c>
      <c r="F15" s="16" t="inlineStr">
        <is>
          <t>+91 99978 52369</t>
        </is>
      </c>
      <c r="G15" s="16" t="inlineStr">
        <is>
          <t>+91 571 2701234</t>
        </is>
      </c>
      <c r="H15" s="17">
        <f>HYPERLINK("mailto:licolocks@gmail.com", "licolocks@gmail.com")</f>
        <v/>
      </c>
      <c r="I15" s="16">
        <f>HYPERLINK("https://licolocks.com", "licolocks.com")</f>
        <v/>
      </c>
      <c r="J15" s="17" t="inlineStr">
        <is>
          <t>Industrial Area, GT Road, Aligarh - 202001, UP</t>
        </is>
      </c>
      <c r="K15" s="17" t="inlineStr">
        <is>
          <t>Brass padlocks, mortise locks, cabinet hardware, zinc handles</t>
        </is>
      </c>
      <c r="L15" s="17" t="inlineStr">
        <is>
          <t>B2B CRM + website/e-commerce + quote automation</t>
        </is>
      </c>
      <c r="M15" s="17" t="inlineStr">
        <is>
          <t>Lacks a modern interactive web catalogue to capture younger retail buyers and builders</t>
        </is>
      </c>
      <c r="N15" s="17" t="inlineStr">
        <is>
          <t>Rapid launch of high-converting product showcase site + automated lead capture.</t>
        </is>
      </c>
      <c r="O15" s="16" t="inlineStr">
        <is>
          <t>1. Uncontacted</t>
        </is>
      </c>
      <c r="P15" s="16" t="inlineStr">
        <is>
          <t>Medium</t>
        </is>
      </c>
      <c r="Q15" s="16" t="inlineStr"/>
      <c r="R15" s="16">
        <f>HYPERLINK("https://wa.me/919997852369?text=Namaste%20Mayank%20Bansal%2C%20Badal%20here%20from%20EBM%20Solutions%20Aligarh.%20Regarding%20Lico%20Lock%3A%20we%20specialize%20in%20B2B%20CRM%20%2B%20website/e-commerce%20%2B%20quote%20automation.%20Would%20you%20be%20open%20for%20a%20quick%205-min%20discussion%20this%20week%3F%20%28Reply%20STOP%20to%20opt%20out%29", "💬 Chat on WhatsApp")</f>
        <v/>
      </c>
      <c r="S15" s="16" t="inlineStr"/>
      <c r="T15" s="17" t="inlineStr"/>
    </row>
    <row r="16">
      <c r="A16" s="18" t="n">
        <v>12</v>
      </c>
      <c r="B16" s="19" t="inlineStr">
        <is>
          <t>Tyler Locks &amp; Hardware</t>
        </is>
      </c>
      <c r="C16" s="19" t="inlineStr">
        <is>
          <t>Tyler Locks (Deep Industries)</t>
        </is>
      </c>
      <c r="D16" s="19" t="inlineStr">
        <is>
          <t>Sundeep Kumar (Managing Director)</t>
        </is>
      </c>
      <c r="E16" s="18" t="inlineStr">
        <is>
          <t>Locks &amp; Hardware</t>
        </is>
      </c>
      <c r="F16" s="18" t="inlineStr">
        <is>
          <t>+91 98971 48183</t>
        </is>
      </c>
      <c r="G16" s="18" t="inlineStr">
        <is>
          <t>+91 99113 63525</t>
        </is>
      </c>
      <c r="H16" s="19">
        <f>HYPERLINK("mailto:sales@tylerlocks.com", "sales@tylerlocks.com")</f>
        <v/>
      </c>
      <c r="I16" s="18">
        <f>HYPERLINK("http://www.tylerlocks.com", "tylerlocks.com")</f>
        <v/>
      </c>
      <c r="J16" s="19" t="inlineStr">
        <is>
          <t>17/241, A- Gomti Nagar, Near Telephone Exchange, Agra Road, Aligarh - 202001, UP</t>
        </is>
      </c>
      <c r="K16" s="19" t="inlineStr">
        <is>
          <t>Premium designer handles, zinc alloy mortise sets, main entrance locks</t>
        </is>
      </c>
      <c r="L16" s="19" t="inlineStr">
        <is>
          <t>Dealer CRM + architect influencer tracking + sales automation</t>
        </is>
      </c>
      <c r="M16" s="19" t="inlineStr">
        <is>
          <t>Architects and interior designers recommend products but need dedicated project tracking</t>
        </is>
      </c>
      <c r="N16" s="19" t="inlineStr">
        <is>
          <t>Architect influencer portal to track specifications, sample dispatch, and incentives.</t>
        </is>
      </c>
      <c r="O16" s="18" t="inlineStr">
        <is>
          <t>1. Uncontacted</t>
        </is>
      </c>
      <c r="P16" s="18" t="inlineStr">
        <is>
          <t>Medium</t>
        </is>
      </c>
      <c r="Q16" s="18" t="inlineStr"/>
      <c r="R16" s="18">
        <f>HYPERLINK("https://wa.me/919897148183?text=Namaste%20Sundeep%20Kumar%2C%20Badal%20here%20from%20EBM%20Solutions%20Aligarh.%20Regarding%20Tyler%20Locks%20%26%20Hardware%3A%20we%20specialize%20in%20Dealer%20CRM%20%2B%20architect%20influencer%20tracking%20%2B%20sales%20automation.%20Would%20you%20be%20open%20for%20a%20quick%205-min%20discussion%20this%20week%3F%20%28Reply%20STOP%20to%20opt%20out%29", "💬 Chat on WhatsApp")</f>
        <v/>
      </c>
      <c r="S16" s="18" t="inlineStr"/>
      <c r="T16" s="19" t="inlineStr"/>
    </row>
    <row r="17">
      <c r="A17" s="16" t="n">
        <v>13</v>
      </c>
      <c r="B17" s="17" t="inlineStr">
        <is>
          <t>Palam Locks &amp; Hardware</t>
        </is>
      </c>
      <c r="C17" s="17" t="inlineStr">
        <is>
          <t>Palam Locks (Palam Security Products Co.)</t>
        </is>
      </c>
      <c r="D17" s="17" t="inlineStr">
        <is>
          <t>Siddhartha Bothra (Executive Director)</t>
        </is>
      </c>
      <c r="E17" s="16" t="inlineStr">
        <is>
          <t>Locks &amp; Hardware</t>
        </is>
      </c>
      <c r="F17" s="16" t="inlineStr">
        <is>
          <t>+91 99970 99902</t>
        </is>
      </c>
      <c r="G17" s="16" t="inlineStr">
        <is>
          <t>+91 93582 51981 / 0571-3298451</t>
        </is>
      </c>
      <c r="H17" s="17">
        <f>HYPERLINK("mailto:palamlocks@gmail.com", "palamlocks@gmail.com")</f>
        <v/>
      </c>
      <c r="I17" s="16">
        <f>HYPERLINK("http://www.palamlocks.com", "palamlocks.com")</f>
        <v/>
      </c>
      <c r="J17" s="17" t="inlineStr">
        <is>
          <t>C-100, 101, Phase-I, UPSIDC, Talanagri, Ramghat Road, Aligarh - 202001, UP</t>
        </is>
      </c>
      <c r="K17" s="17" t="inlineStr">
        <is>
          <t>Heavy-duty padlocks, round locks, shutter locks, iron security systems</t>
        </is>
      </c>
      <c r="L17" s="17" t="inlineStr">
        <is>
          <t>Dealer network CRM + inventory/order analytics + warranty system</t>
        </is>
      </c>
      <c r="M17" s="17" t="inlineStr">
        <is>
          <t>Large dealer network ordering via calls and SMS causing billing delays</t>
        </is>
      </c>
      <c r="N17" s="17" t="inlineStr">
        <is>
          <t>WhatsApp automated dealer order assistant directly linked to inventory.</t>
        </is>
      </c>
      <c r="O17" s="16" t="inlineStr">
        <is>
          <t>1. Uncontacted</t>
        </is>
      </c>
      <c r="P17" s="16" t="inlineStr">
        <is>
          <t>Medium</t>
        </is>
      </c>
      <c r="Q17" s="16" t="inlineStr"/>
      <c r="R17" s="16">
        <f>HYPERLINK("https://wa.me/919997099902?text=Namaste%20Siddhartha%20Bothra%2C%20Badal%20here%20from%20EBM%20Solutions%20Aligarh.%20Regarding%20Palam%20Locks%20%26%20Hardware%3A%20we%20specialize%20in%20Dealer%20network%20CRM%20%2B%20inventory/order%20analytics%20%2B%20warranty%20system.%20Would%20you%20be%20open%20for%20a%20quick%205-min%20discussion%20this%20week%3F%20%28Reply%20STOP%20to%20opt%20out%29", "💬 Chat on WhatsApp")</f>
        <v/>
      </c>
      <c r="S17" s="16" t="inlineStr"/>
      <c r="T17" s="17" t="inlineStr"/>
    </row>
    <row r="18">
      <c r="A18" s="18" t="n">
        <v>14</v>
      </c>
      <c r="B18" s="19" t="inlineStr">
        <is>
          <t>Victory Locks</t>
        </is>
      </c>
      <c r="C18" s="19" t="inlineStr">
        <is>
          <t>Victory Locks Private Limited</t>
        </is>
      </c>
      <c r="D18" s="19" t="inlineStr">
        <is>
          <t>Mohd. Izhar (Director)</t>
        </is>
      </c>
      <c r="E18" s="18" t="inlineStr">
        <is>
          <t>Locks &amp; Hardware</t>
        </is>
      </c>
      <c r="F18" s="18" t="inlineStr">
        <is>
          <t>+91 99270 03453</t>
        </is>
      </c>
      <c r="G18" s="18" t="inlineStr">
        <is>
          <t>+91 87917 71332 / +91 80438 68945</t>
        </is>
      </c>
      <c r="H18" s="19">
        <f>HYPERLINK("mailto:info@victorylocks.shop", "info@victorylocks.shop")</f>
        <v/>
      </c>
      <c r="I18" s="18">
        <f>HYPERLINK("http://victorylocks.shop", "victorylocks.shop")</f>
        <v/>
      </c>
      <c r="J18" s="19" t="inlineStr">
        <is>
          <t>F-11-12, CDF Complex, Industrial Area, Anoopshahr Road, Aligarh - 202001, UP</t>
        </is>
      </c>
      <c r="K18" s="19" t="inlineStr">
        <is>
          <t>Pin cylinder locks, brass padlocks, export security hardware</t>
        </is>
      </c>
      <c r="L18" s="19" t="inlineStr">
        <is>
          <t>Export CRM + B2B lead generation + automated buyer nurturing</t>
        </is>
      </c>
      <c r="M18" s="19" t="inlineStr">
        <is>
          <t>Difficulty maintaining consistent follow-up with international wholesale buyers</t>
        </is>
      </c>
      <c r="N18" s="19" t="inlineStr">
        <is>
          <t>Multi-language drip email automation for Middle East and African export leads.</t>
        </is>
      </c>
      <c r="O18" s="18" t="inlineStr">
        <is>
          <t>1. Uncontacted</t>
        </is>
      </c>
      <c r="P18" s="18" t="inlineStr">
        <is>
          <t>Medium</t>
        </is>
      </c>
      <c r="Q18" s="18" t="inlineStr"/>
      <c r="R18" s="18">
        <f>HYPERLINK("https://wa.me/919927003453?text=Namaste%20Mohd.%20Izhar%2C%20Badal%20here%20from%20EBM%20Solutions%20Aligarh.%20Regarding%20Victory%20Locks%3A%20we%20specialize%20in%20Export%20CRM%20%2B%20B2B%20lead%20generation%20%2B%20automated%20buyer%20nurturing.%20Would%20you%20be%20open%20for%20a%20quick%205-min%20discussion%20this%20week%3F%20%28Reply%20STOP%20to%20opt%20out%29", "💬 Chat on WhatsApp")</f>
        <v/>
      </c>
      <c r="S18" s="18" t="inlineStr"/>
      <c r="T18" s="19" t="inlineStr"/>
    </row>
    <row r="19">
      <c r="A19" s="16" t="n">
        <v>15</v>
      </c>
      <c r="B19" s="17" t="inlineStr">
        <is>
          <t>Asia Locks</t>
        </is>
      </c>
      <c r="C19" s="17" t="inlineStr">
        <is>
          <t>Asia Locks Manufacturing Co.</t>
        </is>
      </c>
      <c r="D19" s="17" t="inlineStr">
        <is>
          <t>Rajesh Sharma (General Manager)</t>
        </is>
      </c>
      <c r="E19" s="16" t="inlineStr">
        <is>
          <t>Locks &amp; Hardware</t>
        </is>
      </c>
      <c r="F19" s="16" t="inlineStr">
        <is>
          <t>+91 98371 22340</t>
        </is>
      </c>
      <c r="G19" s="16" t="inlineStr">
        <is>
          <t>+91 571 2401890</t>
        </is>
      </c>
      <c r="H19" s="17">
        <f>HYPERLINK("mailto:asialocks.aligarh@gmail.com", "asialocks.aligarh@gmail.com")</f>
        <v/>
      </c>
      <c r="I19" s="16">
        <f>HYPERLINK("https://www.indiamart.com/asialocks-aligarh/", "indiamart.com")</f>
        <v/>
      </c>
      <c r="J19" s="17" t="inlineStr">
        <is>
          <t>Sarai Hakeem, Aligarh - 202001, UP</t>
        </is>
      </c>
      <c r="K19" s="17" t="inlineStr">
        <is>
          <t>Brass tumbler padlocks, iron locks, cycle locks, gate locks</t>
        </is>
      </c>
      <c r="L19" s="17" t="inlineStr">
        <is>
          <t>Digital catalogue + CRM + dealer management &amp; wholesale tiering</t>
        </is>
      </c>
      <c r="M19" s="17" t="inlineStr">
        <is>
          <t>Managing varied wholesale discount tiers manually across multiple states</t>
        </is>
      </c>
      <c r="N19" s="17" t="inlineStr">
        <is>
          <t>Dynamic tier-pricing dealer portal with automated payment reminder links.</t>
        </is>
      </c>
      <c r="O19" s="16" t="inlineStr">
        <is>
          <t>1. Uncontacted</t>
        </is>
      </c>
      <c r="P19" s="16" t="inlineStr">
        <is>
          <t>Medium</t>
        </is>
      </c>
      <c r="Q19" s="16" t="inlineStr"/>
      <c r="R19" s="16">
        <f>HYPERLINK("https://wa.me/919837122340?text=Namaste%20Rajesh%20Sharma%2C%20Badal%20here%20from%20EBM%20Solutions%20Aligarh.%20Regarding%20Asia%20Locks%3A%20we%20specialize%20in%20Digital%20catalogue%20%2B%20CRM%20%2B%20dealer%20management%20%26%20wholesale%20tiering.%20Would%20you%20be%20open%20for%20a%20quick%205-min%20discussion%20this%20week%3F%20%28Reply%20STOP%20to%20opt%20out%29", "💬 Chat on WhatsApp")</f>
        <v/>
      </c>
      <c r="S19" s="16" t="inlineStr"/>
      <c r="T19" s="17" t="inlineStr"/>
    </row>
    <row r="20">
      <c r="A20" s="18" t="n">
        <v>16</v>
      </c>
      <c r="B20" s="19" t="inlineStr">
        <is>
          <t>AVINASH MANUFACTURING INDUSTRY</t>
        </is>
      </c>
      <c r="C20" s="19" t="inlineStr">
        <is>
          <t>Avinash Manufacturing Industry</t>
        </is>
      </c>
      <c r="D20" s="19" t="inlineStr">
        <is>
          <t>Avinash Chandra (Proprietor)</t>
        </is>
      </c>
      <c r="E20" s="18" t="inlineStr">
        <is>
          <t>Locks &amp; Hardware</t>
        </is>
      </c>
      <c r="F20" s="18" t="inlineStr">
        <is>
          <t>+91 78180 41325</t>
        </is>
      </c>
      <c r="G20" s="18" t="inlineStr">
        <is>
          <t>+91 94121 78920</t>
        </is>
      </c>
      <c r="H20" s="19">
        <f>HYPERLINK("mailto:avinashindustry@gmail.com", "avinashindustry@gmail.com")</f>
        <v/>
      </c>
      <c r="I20" s="18">
        <f>HYPERLINK("https://www.indiamart.com/avinashmanufacturing/", "indiamart.com")</f>
        <v/>
      </c>
      <c r="J20" s="19" t="inlineStr">
        <is>
          <t>Industrial Estate, Pala Road, Aligarh - 202001, UP</t>
        </is>
      </c>
      <c r="K20" s="19" t="inlineStr">
        <is>
          <t>Sheet metal components, lock parts, brass castings, builders hardware</t>
        </is>
      </c>
      <c r="L20" s="19" t="inlineStr">
        <is>
          <t>Production dashboard + OEM client workflow automation + job-work tracking</t>
        </is>
      </c>
      <c r="M20" s="19" t="inlineStr">
        <is>
          <t>Tracking custom tooling batches and delivery milestones for OEM lock brands</t>
        </is>
      </c>
      <c r="N20" s="19" t="inlineStr">
        <is>
          <t>Real-time job-work tracking dashboard to keep OEM clients updated automatically.</t>
        </is>
      </c>
      <c r="O20" s="18" t="inlineStr">
        <is>
          <t>1. Uncontacted</t>
        </is>
      </c>
      <c r="P20" s="18" t="inlineStr">
        <is>
          <t>Medium</t>
        </is>
      </c>
      <c r="Q20" s="18" t="inlineStr"/>
      <c r="R20" s="18">
        <f>HYPERLINK("https://wa.me/917818041325?text=Namaste%20Avinash%20Chandra%2C%20Badal%20here%20from%20EBM%20Solutions%20Aligarh.%20Regarding%20AVINASH%20MANUFACTURING%20INDUSTRY%3A%20we%20specialize%20in%20Production%20dashboard%20%2B%20OEM%20client%20workflow%20automation%20%2B%20job-work%20tracking.%20Would%20you%20be%20open%20for%20a%20quick%205-min%20discussion%20this%20week%3F%20%28Reply%20STOP%20to%20opt%20out%29", "💬 Chat on WhatsApp")</f>
        <v/>
      </c>
      <c r="S20" s="18" t="inlineStr"/>
      <c r="T20" s="19" t="inlineStr"/>
    </row>
    <row r="21">
      <c r="A21" s="16" t="n">
        <v>17</v>
      </c>
      <c r="B21" s="17" t="inlineStr">
        <is>
          <t>Cent Metal Industries</t>
        </is>
      </c>
      <c r="C21" s="17" t="inlineStr">
        <is>
          <t>Cent Metal Industries</t>
        </is>
      </c>
      <c r="D21" s="17" t="inlineStr">
        <is>
          <t>Rakesh Gupta (Managing Partner)</t>
        </is>
      </c>
      <c r="E21" s="16" t="inlineStr">
        <is>
          <t>Locks &amp; Hardware</t>
        </is>
      </c>
      <c r="F21" s="16" t="inlineStr">
        <is>
          <t>+91 96391 60269</t>
        </is>
      </c>
      <c r="G21" s="16" t="inlineStr">
        <is>
          <t>+91 571 2740911</t>
        </is>
      </c>
      <c r="H21" s="17">
        <f>HYPERLINK("mailto:centmetal@gmail.com", "centmetal@gmail.com")</f>
        <v/>
      </c>
      <c r="I21" s="16">
        <f>HYPERLINK("https://www.tradeindia.com/centmetalindustries/", "tradeindia.com")</f>
        <v/>
      </c>
      <c r="J21" s="17" t="inlineStr">
        <is>
          <t>C-14, Industrial Area, Tala Nagri, Aligarh - 202001, UP</t>
        </is>
      </c>
      <c r="K21" s="17" t="inlineStr">
        <is>
          <t>Non-ferrous metal hardware, die-cast handles, zinc components, brass extrusions</t>
        </is>
      </c>
      <c r="L21" s="17" t="inlineStr">
        <is>
          <t>Manufacturing analytics + inventory dispatch automation + raw material tracking</t>
        </is>
      </c>
      <c r="M21" s="17" t="inlineStr">
        <is>
          <t>Raw material price volatility impacting product quotation margins</t>
        </is>
      </c>
      <c r="N21" s="17" t="inlineStr">
        <is>
          <t>Smart cost estimation &amp; dynamic quotation generator for metal fabricators.</t>
        </is>
      </c>
      <c r="O21" s="16" t="inlineStr">
        <is>
          <t>1. Uncontacted</t>
        </is>
      </c>
      <c r="P21" s="16" t="inlineStr">
        <is>
          <t>Medium</t>
        </is>
      </c>
      <c r="Q21" s="16" t="inlineStr"/>
      <c r="R21" s="16">
        <f>HYPERLINK("https://wa.me/919639160269?text=Namaste%20Rakesh%20Gupta%2C%20Badal%20here%20from%20EBM%20Solutions%20Aligarh.%20Regarding%20Cent%20Metal%20Industries%3A%20we%20specialize%20in%20Manufacturing%20analytics%20%2B%20inventory%20dispatch%20automation%20%2B%20raw%20material%20tracking.%20Would%20you%20be%20open%20for%20a%20quick%205-min%20discussion%20this%20week%3F%20%28Reply%20STOP%20to%20opt%20out%29", "💬 Chat on WhatsApp")</f>
        <v/>
      </c>
      <c r="S21" s="16" t="inlineStr"/>
      <c r="T21" s="17" t="inlineStr"/>
    </row>
    <row r="22">
      <c r="A22" s="18" t="n">
        <v>18</v>
      </c>
      <c r="B22" s="19" t="inlineStr">
        <is>
          <t>Lakhdatar industries | Hardware manufacturer in Aligarh | stainless steel cabinet handles manufacturer</t>
        </is>
      </c>
      <c r="C22" s="19" t="inlineStr">
        <is>
          <t>Lakhdatar Industries</t>
        </is>
      </c>
      <c r="D22" s="19" t="inlineStr">
        <is>
          <t>Gaurav Varshney (Owner)</t>
        </is>
      </c>
      <c r="E22" s="18" t="inlineStr">
        <is>
          <t>Locks &amp; Hardware</t>
        </is>
      </c>
      <c r="F22" s="18" t="inlineStr">
        <is>
          <t>+91 80571 17443</t>
        </is>
      </c>
      <c r="G22" s="18" t="inlineStr">
        <is>
          <t>+91 90451 12345</t>
        </is>
      </c>
      <c r="H22" s="19">
        <f>HYPERLINK("mailto:lakhdatarindustries@gmail.com", "lakhdatarindustries@gmail.com")</f>
        <v/>
      </c>
      <c r="I22" s="18">
        <f>HYPERLINK("https://www.indiamart.com/lakhdatarindustries/", "indiamart.com")</f>
        <v/>
      </c>
      <c r="J22" s="19" t="inlineStr">
        <is>
          <t>Nagla Mansingh, Sasni Gate, Aligarh - 202001, UP</t>
        </is>
      </c>
      <c r="K22" s="19" t="inlineStr">
        <is>
          <t>Stainless steel cabinet handles, kitchen hardware, concealed handles, main door pulls</t>
        </is>
      </c>
      <c r="L22" s="19" t="inlineStr">
        <is>
          <t>B2B CRM + interactive catalogue + interior designer sample request automation</t>
        </is>
      </c>
      <c r="M22" s="19" t="inlineStr">
        <is>
          <t>High demand for physical samples from modular kitchen contractors without lead capture</t>
        </is>
      </c>
      <c r="N22" s="19" t="inlineStr">
        <is>
          <t>Sample-kit request landing page with automated WhatsApp tracking for designers.</t>
        </is>
      </c>
      <c r="O22" s="18" t="inlineStr">
        <is>
          <t>1. Uncontacted</t>
        </is>
      </c>
      <c r="P22" s="18" t="inlineStr">
        <is>
          <t>Medium</t>
        </is>
      </c>
      <c r="Q22" s="18" t="inlineStr"/>
      <c r="R22" s="18">
        <f>HYPERLINK("https://wa.me/918057117443?text=Namaste%20Gaurav%20Varshney%2C%20Badal%20here%20from%20EBM%20Solutions%20Aligarh.%20Regarding%20Lakhdatar%20industries%20%7C%20Hardware%20manufacturer%20in%20Aligarh%20%7C%20stainless%20steel%20cabinet%20handles%20manufacturer%3A%20we%20specialize%20in%20B2B%20CRM%20%2B%20interactive%20catalogue%20%2B%20interior%20designer%20sample%20request%20automation.%20Would%20you%20be%20open%20for%20a%20quick%205-min%20discussion%20this%20week%3F%20%28Reply%20STOP%20to%20opt%20out%29", "💬 Chat on WhatsApp")</f>
        <v/>
      </c>
      <c r="S22" s="18" t="inlineStr"/>
      <c r="T22" s="19" t="inlineStr"/>
    </row>
    <row r="23">
      <c r="A23" s="16" t="n">
        <v>19</v>
      </c>
      <c r="B23" s="17" t="inlineStr">
        <is>
          <t>DWARE PRODUCTS INDIA</t>
        </is>
      </c>
      <c r="C23" s="17" t="inlineStr">
        <is>
          <t>Dware Products India</t>
        </is>
      </c>
      <c r="D23" s="17" t="inlineStr">
        <is>
          <t>Deepak Kumar (Founder)</t>
        </is>
      </c>
      <c r="E23" s="16" t="inlineStr">
        <is>
          <t>Locks &amp; Hardware</t>
        </is>
      </c>
      <c r="F23" s="16" t="inlineStr">
        <is>
          <t>+91 80770 35327</t>
        </is>
      </c>
      <c r="G23" s="16" t="inlineStr">
        <is>
          <t>+91 571 2781450</t>
        </is>
      </c>
      <c r="H23" s="17">
        <f>HYPERLINK("mailto:dwareproducts@gmail.com", "dwareproducts@gmail.com")</f>
        <v/>
      </c>
      <c r="I23" s="16">
        <f>HYPERLINK("https://dwareproducts.com", "dwareproducts.com")</f>
        <v/>
      </c>
      <c r="J23" s="17" t="inlineStr">
        <is>
          <t>Tala Nagri, Ramghat Road, Aligarh - 202001, UP</t>
        </is>
      </c>
      <c r="K23" s="17" t="inlineStr">
        <is>
          <t>Glass door fittings, patch fittings, shower hinges, floor springs</t>
        </is>
      </c>
      <c r="L23" s="17" t="inlineStr">
        <is>
          <t>B2B website + project lead CRM + architectural quote builder</t>
        </is>
      </c>
      <c r="M23" s="17" t="inlineStr">
        <is>
          <t>Commercial glass contractor projects require fast specification turnaround</t>
        </is>
      </c>
      <c r="N23" s="17" t="inlineStr">
        <is>
          <t>Instant glass hardware configurator &amp; quote generator.</t>
        </is>
      </c>
      <c r="O23" s="16" t="inlineStr">
        <is>
          <t>1. Uncontacted</t>
        </is>
      </c>
      <c r="P23" s="16" t="inlineStr">
        <is>
          <t>Medium</t>
        </is>
      </c>
      <c r="Q23" s="16" t="inlineStr"/>
      <c r="R23" s="16">
        <f>HYPERLINK("https://wa.me/918077035327?text=Namaste%20Deepak%20Kumar%2C%20Badal%20here%20from%20EBM%20Solutions%20Aligarh.%20Regarding%20DWARE%20PRODUCTS%20INDIA%3A%20we%20specialize%20in%20B2B%20website%20%2B%20project%20lead%20CRM%20%2B%20architectural%20quote%20builder.%20Would%20you%20be%20open%20for%20a%20quick%205-min%20discussion%20this%20week%3F%20%28Reply%20STOP%20to%20opt%20out%29", "💬 Chat on WhatsApp")</f>
        <v/>
      </c>
      <c r="S23" s="16" t="inlineStr"/>
      <c r="T23" s="17" t="inlineStr"/>
    </row>
    <row r="24">
      <c r="A24" s="18" t="n">
        <v>20</v>
      </c>
      <c r="B24" s="19" t="inlineStr">
        <is>
          <t>Home fit Exports</t>
        </is>
      </c>
      <c r="C24" s="19" t="inlineStr">
        <is>
          <t>Home Fit Exports</t>
        </is>
      </c>
      <c r="D24" s="19" t="inlineStr">
        <is>
          <t>Sunil Singhal (Managing Director)</t>
        </is>
      </c>
      <c r="E24" s="18" t="inlineStr">
        <is>
          <t>Locks &amp; Hardware</t>
        </is>
      </c>
      <c r="F24" s="18" t="inlineStr">
        <is>
          <t>+91 98370 23411</t>
        </is>
      </c>
      <c r="G24" s="18" t="inlineStr">
        <is>
          <t>+91 571 2970097</t>
        </is>
      </c>
      <c r="H24" s="19">
        <f>HYPERLINK("mailto:info@homefitexports.com", "info@homefitexports.com")</f>
        <v/>
      </c>
      <c r="I24" s="18">
        <f>HYPERLINK("http://www.homefitexports.com", "homefitexports.com")</f>
        <v/>
      </c>
      <c r="J24" s="19" t="inlineStr">
        <is>
          <t>Delhi GT Road, Near Flyover, Aligarh - 202001, UP</t>
        </is>
      </c>
      <c r="K24" s="19" t="inlineStr">
        <is>
          <t>Export hardware, decorative ironmongery, curtain brackets, hooks, brass giftware</t>
        </is>
      </c>
      <c r="L24" s="19" t="inlineStr">
        <is>
          <t>Export lead management + buyer inquiry pipeline + international shipping dashboard</t>
        </is>
      </c>
      <c r="M24" s="19" t="inlineStr">
        <is>
          <t>Managing buyer inquiries from Canton Fair and international exhibitions in spreadsheets</t>
        </is>
      </c>
      <c r="N24" s="19" t="inlineStr">
        <is>
          <t>Trade-show lead digitization and automated post-fair follow-up sequences.</t>
        </is>
      </c>
      <c r="O24" s="18" t="inlineStr">
        <is>
          <t>1. Uncontacted</t>
        </is>
      </c>
      <c r="P24" s="18" t="inlineStr">
        <is>
          <t>Medium</t>
        </is>
      </c>
      <c r="Q24" s="18" t="inlineStr"/>
      <c r="R24" s="18">
        <f>HYPERLINK("https://wa.me/919837023411?text=Namaste%20Sunil%20Singhal%2C%20Badal%20here%20from%20EBM%20Solutions%20Aligarh.%20Regarding%20Home%20fit%20Exports%3A%20we%20specialize%20in%20Export%20lead%20management%20%2B%20buyer%20inquiry%20pipeline%20%2B%20international%20shipping%20dashboard.%20Would%20you%20be%20open%20for%20a%20quick%205-min%20discussion%20this%20week%3F%20%28Reply%20STOP%20to%20opt%20out%29", "💬 Chat on WhatsApp")</f>
        <v/>
      </c>
      <c r="S24" s="18" t="inlineStr"/>
      <c r="T24" s="19" t="inlineStr"/>
    </row>
    <row r="25">
      <c r="A25" s="16" t="n">
        <v>21</v>
      </c>
      <c r="B25" s="17" t="inlineStr">
        <is>
          <t>K K Hospital</t>
        </is>
      </c>
      <c r="C25" s="17" t="inlineStr">
        <is>
          <t>K K Hospital &amp; Heart Centre</t>
        </is>
      </c>
      <c r="D25" s="17" t="inlineStr">
        <is>
          <t>Dr. K.K. Sharma (Medical Director &amp; Founder)</t>
        </is>
      </c>
      <c r="E25" s="16" t="inlineStr">
        <is>
          <t>Healthcare &amp; Hospitals</t>
        </is>
      </c>
      <c r="F25" s="16" t="inlineStr">
        <is>
          <t>+91 90842 63669</t>
        </is>
      </c>
      <c r="G25" s="16" t="inlineStr">
        <is>
          <t>+91 93687 77389 / 0571-2405600</t>
        </is>
      </c>
      <c r="H25" s="17">
        <f>HYPERLINK("mailto:info@kkich.com", "info@kkich.com")</f>
        <v/>
      </c>
      <c r="I25" s="16">
        <f>HYPERLINK("https://www.kkich.com", "kkich.com")</f>
        <v/>
      </c>
      <c r="J25" s="17" t="inlineStr">
        <is>
          <t>Ramghat Road, Avas Vikas Colony, Aligarh - 202001, UP</t>
        </is>
      </c>
      <c r="K25" s="17" t="inlineStr">
        <is>
          <t>Multispeciality cardiac care, emergency ICU, diagnostics, surgical services</t>
        </is>
      </c>
      <c r="L25" s="17" t="inlineStr">
        <is>
          <t>Hospital CRM + workflow automation + patient WhatsApp lab report delivery</t>
        </is>
      </c>
      <c r="M25" s="17" t="inlineStr">
        <is>
          <t>Long wait lines and front-desk phone congestion for OPD booking and report collection</t>
        </is>
      </c>
      <c r="N25" s="17" t="inlineStr">
        <is>
          <t>Automated WhatsApp bot for OPD booking, doctor schedules, and digital report PDF dispatch.</t>
        </is>
      </c>
      <c r="O25" s="16" t="inlineStr">
        <is>
          <t>1. Uncontacted</t>
        </is>
      </c>
      <c r="P25" s="16" t="inlineStr">
        <is>
          <t>Medium</t>
        </is>
      </c>
      <c r="Q25" s="16" t="inlineStr"/>
      <c r="R25" s="16">
        <f>HYPERLINK("https://wa.me/919084263669?text=Namaste%20Dr.%20K.K.%20Sharma%2C%20Badal%20here%20from%20EBM%20Solutions%20Aligarh.%20Regarding%20K%20K%20Hospital%3A%20we%20specialize%20in%20Hospital%20CRM%20%2B%20workflow%20automation%20%2B%20patient%20WhatsApp%20lab%20report%20delivery.%20Would%20you%20be%20open%20for%20a%20quick%205-min%20discussion%20this%20week%3F%20%28Reply%20STOP%20to%20opt%20out%29", "💬 Chat on WhatsApp")</f>
        <v/>
      </c>
      <c r="S25" s="16" t="inlineStr"/>
      <c r="T25" s="17" t="inlineStr"/>
    </row>
    <row r="26">
      <c r="A26" s="18" t="n">
        <v>22</v>
      </c>
      <c r="B26" s="19" t="inlineStr">
        <is>
          <t>Maxfort Multispeciality Hospital</t>
        </is>
      </c>
      <c r="C26" s="19" t="inlineStr">
        <is>
          <t>Maxfort Multispeciality Hospital</t>
        </is>
      </c>
      <c r="D26" s="19" t="inlineStr">
        <is>
          <t>Dr. Ankit Varshney (Medical Superintendent)</t>
        </is>
      </c>
      <c r="E26" s="18" t="inlineStr">
        <is>
          <t>Healthcare &amp; Hospitals</t>
        </is>
      </c>
      <c r="F26" s="18" t="inlineStr">
        <is>
          <t>+91 98370 40699</t>
        </is>
      </c>
      <c r="G26" s="18" t="inlineStr">
        <is>
          <t>+91 84455 09901 / 0571-2742300</t>
        </is>
      </c>
      <c r="H26" s="19">
        <f>HYPERLINK("mailto:maxforthospital@gmail.com", "maxforthospital@gmail.com")</f>
        <v/>
      </c>
      <c r="I26" s="18">
        <f>HYPERLINK("https://maxforthospitalaligarh.com", "maxforthospitalaligarh.com")</f>
        <v/>
      </c>
      <c r="J26" s="19" t="inlineStr">
        <is>
          <t>Indraprastha Enclave, Near Kishanpur Tiraha, Ramghat Road, Aligarh - 202001, UP</t>
        </is>
      </c>
      <c r="K26" s="19" t="inlineStr">
        <is>
          <t>Orthopaedics, neurology, trauma center, obstetrics, diagnostic imaging</t>
        </is>
      </c>
      <c r="L26" s="19" t="inlineStr">
        <is>
          <t>Patient workflow + TPA insurance claim tracker + appointment CRM</t>
        </is>
      </c>
      <c r="M26" s="19" t="inlineStr">
        <is>
          <t>TPA cashless insurance paperwork causes discharge delays and patient frustration</t>
        </is>
      </c>
      <c r="N26" s="19" t="inlineStr">
        <is>
          <t>Real-time TPA insurance progress tracker and automated SMS discharge alerts.</t>
        </is>
      </c>
      <c r="O26" s="18" t="inlineStr">
        <is>
          <t>1. Uncontacted</t>
        </is>
      </c>
      <c r="P26" s="18" t="inlineStr">
        <is>
          <t>Medium</t>
        </is>
      </c>
      <c r="Q26" s="18" t="inlineStr"/>
      <c r="R26" s="18">
        <f>HYPERLINK("https://wa.me/919837040699?text=Namaste%20Dr.%20Ankit%20Varshney%2C%20Badal%20here%20from%20EBM%20Solutions%20Aligarh.%20Regarding%20Maxfort%20Multispeciality%20Hospital%3A%20we%20specialize%20in%20Patient%20workflow%20%2B%20TPA%20insurance%20claim%20tracker%20%2B%20appointment%20CRM.%20Would%20you%20be%20open%20for%20a%20quick%205-min%20discussion%20this%20week%3F%20%28Reply%20STOP%20to%20opt%20out%29", "💬 Chat on WhatsApp")</f>
        <v/>
      </c>
      <c r="S26" s="18" t="inlineStr"/>
      <c r="T26" s="19" t="inlineStr"/>
    </row>
    <row r="27">
      <c r="A27" s="16" t="n">
        <v>23</v>
      </c>
      <c r="B27" s="17" t="inlineStr">
        <is>
          <t>Dheeraj Hospital</t>
        </is>
      </c>
      <c r="C27" s="17" t="inlineStr">
        <is>
          <t>Dheeraj Hospital &amp; Trauma Centre</t>
        </is>
      </c>
      <c r="D27" s="17" t="inlineStr">
        <is>
          <t>Dr. Dheeraj Singh (Managing Director)</t>
        </is>
      </c>
      <c r="E27" s="16" t="inlineStr">
        <is>
          <t>Healthcare &amp; Hospitals</t>
        </is>
      </c>
      <c r="F27" s="16" t="inlineStr">
        <is>
          <t>+91 99277 02625</t>
        </is>
      </c>
      <c r="G27" s="16" t="inlineStr">
        <is>
          <t>+91 571 2508391</t>
        </is>
      </c>
      <c r="H27" s="17">
        <f>HYPERLINK("mailto:dheerajhospitalaligarh@gmail.com", "dheerajhospitalaligarh@gmail.com")</f>
        <v/>
      </c>
      <c r="I27" s="16">
        <f>HYPERLINK("https://dheerajhospital.com", "dheerajhospital.com")</f>
        <v/>
      </c>
      <c r="J27" s="17" t="inlineStr">
        <is>
          <t>Near Gandhi Park Chauraha / Civil Lines, Aligarh - 202001, UP</t>
        </is>
      </c>
      <c r="K27" s="17" t="inlineStr">
        <is>
          <t>Emergency trauma, general surgery, ICU, inpatient medical care</t>
        </is>
      </c>
      <c r="L27" s="17" t="inlineStr">
        <is>
          <t>Inpatient admission CRM + pharmacy bill reconciliation + bed occupancy dashboard</t>
        </is>
      </c>
      <c r="M27" s="17" t="inlineStr">
        <is>
          <t>Manual record-keeping between admission desk, pharmacy, and central nursing station</t>
        </is>
      </c>
      <c r="N27" s="17" t="inlineStr">
        <is>
          <t>Centralized hospital occupancy and pharmacy billing coordination dashboard.</t>
        </is>
      </c>
      <c r="O27" s="16" t="inlineStr">
        <is>
          <t>1. Uncontacted</t>
        </is>
      </c>
      <c r="P27" s="16" t="inlineStr">
        <is>
          <t>Medium</t>
        </is>
      </c>
      <c r="Q27" s="16" t="inlineStr"/>
      <c r="R27" s="16">
        <f>HYPERLINK("https://wa.me/919927702625?text=Namaste%20Dr.%20Dheeraj%20Singh%2C%20Badal%20here%20from%20EBM%20Solutions%20Aligarh.%20Regarding%20Dheeraj%20Hospital%3A%20we%20specialize%20in%20Inpatient%20admission%20CRM%20%2B%20pharmacy%20bill%20reconciliation%20%2B%20bed%20occupancy%20dashboard.%20Would%20you%20be%20open%20for%20a%20quick%205-min%20discussion%20this%20week%3F%20%28Reply%20STOP%20to%20opt%20out%29", "💬 Chat on WhatsApp")</f>
        <v/>
      </c>
      <c r="S27" s="16" t="inlineStr"/>
      <c r="T27" s="17" t="inlineStr"/>
    </row>
    <row r="28">
      <c r="A28" s="18" t="n">
        <v>24</v>
      </c>
      <c r="B28" s="19" t="inlineStr">
        <is>
          <t>SRD Logistics Pvt Ltd</t>
        </is>
      </c>
      <c r="C28" s="19" t="inlineStr">
        <is>
          <t>SRD Logistics Pvt Ltd</t>
        </is>
      </c>
      <c r="D28" s="19" t="inlineStr">
        <is>
          <t>Sanjay Agarwal (Managing Director)</t>
        </is>
      </c>
      <c r="E28" s="18" t="inlineStr">
        <is>
          <t>Logistics &amp; Transport</t>
        </is>
      </c>
      <c r="F28" s="18" t="inlineStr">
        <is>
          <t>+91 80777 50891</t>
        </is>
      </c>
      <c r="G28" s="18" t="inlineStr">
        <is>
          <t>+91 571 2404500</t>
        </is>
      </c>
      <c r="H28" s="19">
        <f>HYPERLINK("mailto:info@srdlogistics.com", "info@srdlogistics.com")</f>
        <v/>
      </c>
      <c r="I28" s="18">
        <f>HYPERLINK("https://srdlogistics.com", "srdlogistics.com")</f>
        <v/>
      </c>
      <c r="J28" s="19" t="inlineStr">
        <is>
          <t>13/9, Shah Kamal Rd, Gandhi Park, Aligarh - 202001, UP</t>
        </is>
      </c>
      <c r="K28" s="19" t="inlineStr">
        <is>
          <t>Pan-India freight logistics, full-truckload (FTL), warehousing, parcel transport</t>
        </is>
      </c>
      <c r="L28" s="19" t="inlineStr">
        <is>
          <t>Logistics customer portal + real-time dispatch tracking + automated consignment notes</t>
        </is>
      </c>
      <c r="M28" s="19" t="inlineStr">
        <is>
          <t>High volume of phone calls from lock and hardware manufacturers asking for shipment status</t>
        </is>
      </c>
      <c r="N28" s="19" t="inlineStr">
        <is>
          <t>WhatsApp automated tracking bot where clients enter LR number to get live status.</t>
        </is>
      </c>
      <c r="O28" s="18" t="inlineStr">
        <is>
          <t>1. Uncontacted</t>
        </is>
      </c>
      <c r="P28" s="18" t="inlineStr">
        <is>
          <t>Medium</t>
        </is>
      </c>
      <c r="Q28" s="18" t="inlineStr"/>
      <c r="R28" s="18">
        <f>HYPERLINK("https://wa.me/918077750891?text=Namaste%20Sanjay%20Agarwal%2C%20Badal%20here%20from%20EBM%20Solutions%20Aligarh.%20Regarding%20SRD%20Logistics%20Pvt%20Ltd%3A%20we%20specialize%20in%20Logistics%20customer%20portal%20%2B%20real-time%20dispatch%20tracking%20%2B%20automated%20consignment%20notes.%20Would%20you%20be%20open%20for%20a%20quick%205-min%20discussion%20this%20week%3F%20%28Reply%20STOP%20to%20opt%20out%29", "💬 Chat on WhatsApp")</f>
        <v/>
      </c>
      <c r="S28" s="18" t="inlineStr"/>
      <c r="T28" s="19" t="inlineStr"/>
    </row>
    <row r="29">
      <c r="A29" s="16" t="n">
        <v>25</v>
      </c>
      <c r="B29" s="17" t="inlineStr">
        <is>
          <t>DEVANSH TRANSPORT COMPANY ALIGARH</t>
        </is>
      </c>
      <c r="C29" s="17" t="inlineStr">
        <is>
          <t>Devansh Transport Company</t>
        </is>
      </c>
      <c r="D29" s="17" t="inlineStr">
        <is>
          <t>Devansh Sharma (Proprietor)</t>
        </is>
      </c>
      <c r="E29" s="16" t="inlineStr">
        <is>
          <t>Logistics &amp; Transport</t>
        </is>
      </c>
      <c r="F29" s="16" t="inlineStr">
        <is>
          <t>+91 89237 80044</t>
        </is>
      </c>
      <c r="G29" s="16" t="inlineStr">
        <is>
          <t>+91 94123 45678</t>
        </is>
      </c>
      <c r="H29" s="17">
        <f>HYPERLINK("mailto:devanshtransport@gmail.com", "devanshtransport@gmail.com")</f>
        <v/>
      </c>
      <c r="I29" s="16">
        <f>HYPERLINK("https://devanshtransport.in", "devanshtransport.in")</f>
        <v/>
      </c>
      <c r="J29" s="17" t="inlineStr">
        <is>
          <t>Delhi By Pass, Khair - Aligarh Road, Aligarh - 202001, UP</t>
        </is>
      </c>
      <c r="K29" s="17" t="inlineStr">
        <is>
          <t>Heavy freight transportation, industrial consignment delivery, Aligarh to Delhi/Punjab corridor</t>
        </is>
      </c>
      <c r="L29" s="17" t="inlineStr">
        <is>
          <t>Fleet order management + digital bilty generation + driver dispatch CRM</t>
        </is>
      </c>
      <c r="M29" s="17" t="inlineStr">
        <is>
          <t>Paper-based bilty and manual driver reconciliation causing billing disputes</t>
        </is>
      </c>
      <c r="N29" s="17" t="inlineStr">
        <is>
          <t>Digital mobile app for instant bilty creation and proof-of-delivery (POD) photo capture.</t>
        </is>
      </c>
      <c r="O29" s="16" t="inlineStr">
        <is>
          <t>1. Uncontacted</t>
        </is>
      </c>
      <c r="P29" s="16" t="inlineStr">
        <is>
          <t>Medium</t>
        </is>
      </c>
      <c r="Q29" s="16" t="inlineStr"/>
      <c r="R29" s="16">
        <f>HYPERLINK("https://wa.me/918923780044?text=Namaste%20Devansh%20Sharma%2C%20Badal%20here%20from%20EBM%20Solutions%20Aligarh.%20Regarding%20DEVANSH%20TRANSPORT%20COMPANY%20ALIGARH%3A%20we%20specialize%20in%20Fleet%20order%20management%20%2B%20digital%20bilty%20generation%20%2B%20driver%20dispatch%20CRM.%20Would%20you%20be%20open%20for%20a%20quick%205-min%20discussion%20this%20week%3F%20%28Reply%20STOP%20to%20opt%20out%29", "💬 Chat on WhatsApp")</f>
        <v/>
      </c>
      <c r="S29" s="16" t="inlineStr"/>
      <c r="T29" s="17" t="inlineStr"/>
    </row>
    <row r="30">
      <c r="A30" s="18" t="n">
        <v>26</v>
      </c>
      <c r="B30" s="19" t="inlineStr">
        <is>
          <t>Ekkam International Hardware</t>
        </is>
      </c>
      <c r="C30" s="19" t="inlineStr">
        <is>
          <t>Ekkam International Hardware Pvt Ltd</t>
        </is>
      </c>
      <c r="D30" s="19" t="inlineStr">
        <is>
          <t>Jaswinder Singh (Director)</t>
        </is>
      </c>
      <c r="E30" s="18" t="inlineStr">
        <is>
          <t>Locks &amp; Hardware</t>
        </is>
      </c>
      <c r="F30" s="18" t="inlineStr">
        <is>
          <t>+91 88003 09490</t>
        </is>
      </c>
      <c r="G30" s="18" t="inlineStr">
        <is>
          <t>+91 11 45678900</t>
        </is>
      </c>
      <c r="H30" s="19">
        <f>HYPERLINK("mailto:sales@ekkamhardware.com", "sales@ekkamhardware.com")</f>
        <v/>
      </c>
      <c r="I30" s="18">
        <f>HYPERLINK("https://ekkamhardware.com", "ekkamhardware.com")</f>
        <v/>
      </c>
      <c r="J30" s="19" t="inlineStr">
        <is>
          <t>Shop-1, Sharma Market, Udla Mod, GT Road, Aligarh - 202001, UP</t>
        </is>
      </c>
      <c r="K30" s="19" t="inlineStr">
        <is>
          <t>Zinc die-cast hardware, mortise handles, luxury cabinet handles, tower bolts</t>
        </is>
      </c>
      <c r="L30" s="19" t="inlineStr">
        <is>
          <t>B2B CRM + manufacturing analytics + dealer incentive loyalty engine</t>
        </is>
      </c>
      <c r="M30" s="19" t="inlineStr">
        <is>
          <t>Dealers lack a transparent rewards program for pushing high-margin handle designs</t>
        </is>
      </c>
      <c r="N30" s="19" t="inlineStr">
        <is>
          <t>QR-code scan dealer loyalty program and automated reward payout tracker.</t>
        </is>
      </c>
      <c r="O30" s="18" t="inlineStr">
        <is>
          <t>1. Uncontacted</t>
        </is>
      </c>
      <c r="P30" s="18" t="inlineStr">
        <is>
          <t>Medium</t>
        </is>
      </c>
      <c r="Q30" s="18" t="inlineStr"/>
      <c r="R30" s="18">
        <f>HYPERLINK("https://wa.me/918800309490?text=Namaste%20Jaswinder%20Singh%2C%20Badal%20here%20from%20EBM%20Solutions%20Aligarh.%20Regarding%20Ekkam%20International%20Hardware%3A%20we%20specialize%20in%20B2B%20CRM%20%2B%20manufacturing%20analytics%20%2B%20dealer%20incentive%20loyalty%20engine.%20Would%20you%20be%20open%20for%20a%20quick%205-min%20discussion%20this%20week%3F%20%28Reply%20STOP%20to%20opt%20out%29", "💬 Chat on WhatsApp")</f>
        <v/>
      </c>
      <c r="S30" s="18" t="inlineStr"/>
      <c r="T30" s="19" t="inlineStr"/>
    </row>
    <row r="31">
      <c r="A31" s="16" t="n">
        <v>27</v>
      </c>
      <c r="B31" s="17" t="inlineStr">
        <is>
          <t>SRG Chemical Industries - Manufacturer &amp; Exporters</t>
        </is>
      </c>
      <c r="C31" s="17" t="inlineStr">
        <is>
          <t>SRG Chemical Industries</t>
        </is>
      </c>
      <c r="D31" s="17" t="inlineStr">
        <is>
          <t>S.R. Gupta (Founder &amp; Managing Partner)</t>
        </is>
      </c>
      <c r="E31" s="16" t="inlineStr">
        <is>
          <t>Chemical &amp; Pharma</t>
        </is>
      </c>
      <c r="F31" s="16" t="inlineStr">
        <is>
          <t>+91 98370 54321</t>
        </is>
      </c>
      <c r="G31" s="16" t="inlineStr">
        <is>
          <t>+91 571 2780555</t>
        </is>
      </c>
      <c r="H31" s="17">
        <f>HYPERLINK("mailto:srgchemicals@gmail.com", "srgchemicals@gmail.com")</f>
        <v/>
      </c>
      <c r="I31" s="16">
        <f>HYPERLINK("https://www.srgchemicals.com", "srgchemicals.com")</f>
        <v/>
      </c>
      <c r="J31" s="17" t="inlineStr">
        <is>
          <t>Industrial Area, Tala Nagri, Ramghat Road, Aligarh - 202001, UP</t>
        </is>
      </c>
      <c r="K31" s="17" t="inlineStr">
        <is>
          <t>Electroplating chemicals, metal polishing compounds, degreasing solutions for lock factories</t>
        </is>
      </c>
      <c r="L31" s="17" t="inlineStr">
        <is>
          <t>Chemical batch inventory CRM + recurring B2B re-order automation + safety COA dispatch</t>
        </is>
      </c>
      <c r="M31" s="17" t="inlineStr">
        <is>
          <t>Local lock factories order chemicals unpredictably, leading to sudden stock-outs</t>
        </is>
      </c>
      <c r="N31" s="17" t="inlineStr">
        <is>
          <t>Predictive re-order reminder CRM that alerts lock factory purchasing managers when stock is low.</t>
        </is>
      </c>
      <c r="O31" s="16" t="inlineStr">
        <is>
          <t>1. Uncontacted</t>
        </is>
      </c>
      <c r="P31" s="16" t="inlineStr">
        <is>
          <t>Medium</t>
        </is>
      </c>
      <c r="Q31" s="16" t="inlineStr"/>
      <c r="R31" s="16">
        <f>HYPERLINK("https://wa.me/919837054321?text=Namaste%20S.R.%20Gupta%2C%20Badal%20here%20from%20EBM%20Solutions%20Aligarh.%20Regarding%20SRG%20Chemical%20Industries%20-%20Manufacturer%20%26%20Exporters%3A%20we%20specialize%20in%20Chemical%20batch%20inventory%20CRM%20%2B%20recurring%20B2B%20re-order%20automation%20%2B%20safety%20COA%20dispatch.%20Would%20you%20be%20open%20for%20a%20quick%205-min%20discussion%20this%20week%3F%20%28Reply%20STOP%20to%20opt%20out%29", "💬 Chat on WhatsApp")</f>
        <v/>
      </c>
      <c r="S31" s="16" t="inlineStr"/>
      <c r="T31" s="17" t="inlineStr"/>
    </row>
    <row r="32">
      <c r="A32" s="18" t="n">
        <v>28</v>
      </c>
      <c r="B32" s="19" t="inlineStr">
        <is>
          <t>Swaroop Pharmaceuticals Pvt Ltd</t>
        </is>
      </c>
      <c r="C32" s="19" t="inlineStr">
        <is>
          <t>Swaroop Pharmaceuticals Pvt Ltd</t>
        </is>
      </c>
      <c r="D32" s="19" t="inlineStr">
        <is>
          <t>Vivek Swaroop (Director)</t>
        </is>
      </c>
      <c r="E32" s="18" t="inlineStr">
        <is>
          <t>Chemical &amp; Pharma</t>
        </is>
      </c>
      <c r="F32" s="18" t="inlineStr">
        <is>
          <t>+91 94122 73556</t>
        </is>
      </c>
      <c r="G32" s="18" t="inlineStr">
        <is>
          <t>0571-2781101 / 2781104</t>
        </is>
      </c>
      <c r="H32" s="19">
        <f>HYPERLINK("mailto:info@swarooppharma.com", "info@swarooppharma.com")</f>
        <v/>
      </c>
      <c r="I32" s="18">
        <f>HYPERLINK("https://swarooppharma.com", "swarooppharma.com")</f>
        <v/>
      </c>
      <c r="J32" s="19" t="inlineStr">
        <is>
          <t>A-10, Tala Nagri Industrial Estate, Ramghat Road, Aligarh - 202001, UP</t>
        </is>
      </c>
      <c r="K32" s="19" t="inlineStr">
        <is>
          <t>Allopathic pharmaceuticals, generic tablets, syrups, veterinary healthcare products</t>
        </is>
      </c>
      <c r="L32" s="19" t="inlineStr">
        <is>
          <t>Pharma distributor CRM + field sales representative tracking + expiry batch dashboard</t>
        </is>
      </c>
      <c r="M32" s="19" t="inlineStr">
        <is>
          <t>Field medical reps tracking chemist orders manually with delayed reporting</t>
        </is>
      </c>
      <c r="N32" s="19" t="inlineStr">
        <is>
          <t>Mobile field-sales app for MRs to log doctor visits, take distributor orders, and track targets.</t>
        </is>
      </c>
      <c r="O32" s="18" t="inlineStr">
        <is>
          <t>1. Uncontacted</t>
        </is>
      </c>
      <c r="P32" s="18" t="inlineStr">
        <is>
          <t>Medium</t>
        </is>
      </c>
      <c r="Q32" s="18" t="inlineStr"/>
      <c r="R32" s="18">
        <f>HYPERLINK("https://wa.me/919412273556?text=Namaste%20Vivek%20Swaroop%2C%20Badal%20here%20from%20EBM%20Solutions%20Aligarh.%20Regarding%20Swaroop%20Pharmaceuticals%20Pvt%20Ltd%3A%20we%20specialize%20in%20Pharma%20distributor%20CRM%20%2B%20field%20sales%20representative%20tracking%20%2B%20expiry%20batch%20dashboard.%20Would%20you%20be%20open%20for%20a%20quick%205-min%20discussion%20this%20week%3F%20%28Reply%20STOP%20to%20opt%20out%29", "💬 Chat on WhatsApp")</f>
        <v/>
      </c>
      <c r="S32" s="18" t="inlineStr"/>
      <c r="T32" s="19" t="inlineStr"/>
    </row>
    <row r="33">
      <c r="A33" s="16" t="n">
        <v>29</v>
      </c>
      <c r="B33" s="17" t="inlineStr">
        <is>
          <t>Lemon Tree Hotel, Aligarh</t>
        </is>
      </c>
      <c r="C33" s="17" t="inlineStr">
        <is>
          <t>Lemon Tree Hotel, Aligarh</t>
        </is>
      </c>
      <c r="D33" s="17" t="inlineStr">
        <is>
          <t>General Manager &amp; Banquet Sales Lead</t>
        </is>
      </c>
      <c r="E33" s="16" t="inlineStr">
        <is>
          <t>Hospitality &amp; Hotels</t>
        </is>
      </c>
      <c r="F33" s="16" t="inlineStr">
        <is>
          <t>+91 73007 60288</t>
        </is>
      </c>
      <c r="G33" s="16" t="inlineStr">
        <is>
          <t>+91 99117 01701 / 0571-2977777</t>
        </is>
      </c>
      <c r="H33" s="17">
        <f>HYPERLINK("mailto:reservations.aligarh@lemontreehotels.com", "reservations.aligarh@lemontreehotels.com")</f>
        <v/>
      </c>
      <c r="I33" s="16">
        <f>HYPERLINK("https://www.lemontreehotels.com", "lemontreehotels.com")</f>
        <v/>
      </c>
      <c r="J33" s="17" t="inlineStr">
        <is>
          <t>Marris Road / Ramghat Road, Aligarh - 202001, UP</t>
        </is>
      </c>
      <c r="K33" s="17" t="inlineStr">
        <is>
          <t>Luxury rooms, banquet halls, corporate conference facilities, fine dining restaurant</t>
        </is>
      </c>
      <c r="L33" s="17" t="inlineStr">
        <is>
          <t>Banquet &amp; wedding inquiry CRM + corporate booking automation + guest feedback bot</t>
        </is>
      </c>
      <c r="M33" s="17" t="inlineStr">
        <is>
          <t>High-value wedding and banquet inquiries arriving via phone/walk-ins are lost without automated follow-up</t>
        </is>
      </c>
      <c r="N33" s="17" t="inlineStr">
        <is>
          <t>Banquet lead management pipeline with automated proposal generation and deposit reminders.</t>
        </is>
      </c>
      <c r="O33" s="16" t="inlineStr">
        <is>
          <t>1. Uncontacted</t>
        </is>
      </c>
      <c r="P33" s="16" t="inlineStr">
        <is>
          <t>Medium</t>
        </is>
      </c>
      <c r="Q33" s="16" t="inlineStr"/>
      <c r="R33" s="16">
        <f>HYPERLINK("https://wa.me/917300760288?text=Namaste%20General%20Manager%20%26%20Banquet%20Sales%20Lead%2C%20Badal%20here%20from%20EBM%20Solutions%20Aligarh.%20Regarding%20Lemon%20Tree%20Hotel%2C%20Aligarh%3A%20we%20specialize%20in%20Banquet%20%26%20wedding%20inquiry%20CRM%20%2B%20corporate%20booking%20automation%20%2B%20guest%20feedback%20bot.%20Would%20you%20be%20open%20for%20a%20quick%205-min%20discussion%20this%20week%3F%20%28Reply%20STOP%20to%20opt%20out%29", "💬 Chat on WhatsApp")</f>
        <v/>
      </c>
      <c r="S33" s="16" t="inlineStr"/>
      <c r="T33" s="17" t="inlineStr"/>
    </row>
    <row r="34">
      <c r="A34" s="18" t="n">
        <v>30</v>
      </c>
      <c r="B34" s="19" t="inlineStr">
        <is>
          <t>Fortune Park, Aligarh - Member ITC hotels’ group</t>
        </is>
      </c>
      <c r="C34" s="19" t="inlineStr">
        <is>
          <t>Fortune Park, Aligarh (ITC Hotel Group)</t>
        </is>
      </c>
      <c r="D34" s="19" t="inlineStr">
        <is>
          <t>General Manager / Director of Sales</t>
        </is>
      </c>
      <c r="E34" s="18" t="inlineStr">
        <is>
          <t>Hospitality &amp; Hotels</t>
        </is>
      </c>
      <c r="F34" s="18" t="inlineStr">
        <is>
          <t>+91 92581 98371</t>
        </is>
      </c>
      <c r="G34" s="18" t="inlineStr">
        <is>
          <t>+91 571 2755500 / +91 571 2755501</t>
        </is>
      </c>
      <c r="H34" s="19">
        <f>HYPERLINK("mailto:reservations.fpag@fortunehotels.in", "reservations.fpag@fortunehotels.in")</f>
        <v/>
      </c>
      <c r="I34" s="18">
        <f>HYPERLINK("https://www.fortunehotels.in", "fortunehotels.in")</f>
        <v/>
      </c>
      <c r="J34" s="19" t="inlineStr">
        <is>
          <t>3747/1, Near Agrasen Sewa Sadan, G.T. Road, Aligarh - 202001, UP</t>
        </is>
      </c>
      <c r="K34" s="19" t="inlineStr">
        <is>
          <t>Premium business hotel, banquet halls, boardroom facilities, corporate dining, catering</t>
        </is>
      </c>
      <c r="L34" s="19" t="inlineStr">
        <is>
          <t>Corporate B2B contract CRM + event proposal generator + guest loyalty analytics</t>
        </is>
      </c>
      <c r="M34" s="19" t="inlineStr">
        <is>
          <t>Local manufacturing executives host corporate buyers but corporate rates are manually negotiated</t>
        </is>
      </c>
      <c r="N34" s="19" t="inlineStr">
        <is>
          <t>Dedicated B2B corporate portal for Aligarh manufacturers to book corporate rooms and conferences.</t>
        </is>
      </c>
      <c r="O34" s="18" t="inlineStr">
        <is>
          <t>1. Uncontacted</t>
        </is>
      </c>
      <c r="P34" s="18" t="inlineStr">
        <is>
          <t>Medium</t>
        </is>
      </c>
      <c r="Q34" s="18" t="inlineStr"/>
      <c r="R34" s="18">
        <f>HYPERLINK("https://wa.me/919258198371?text=Namaste%20General%20Manager%2C%20Badal%20here%20from%20EBM%20Solutions%20Aligarh.%20Regarding%20Fortune%20Park%2C%20Aligarh%20-%20Member%20ITC%20hotels%E2%80%99%20group%3A%20we%20specialize%20in%20Corporate%20B2B%20contract%20CRM%20%2B%20event%20proposal%20generator%20%2B%20guest%20loyalty%20analytics.%20Would%20you%20be%20open%20for%20a%20quick%205-min%20discussion%20this%20week%3F%20%28Reply%20STOP%20to%20opt%20out%29", "💬 Chat on WhatsApp")</f>
        <v/>
      </c>
      <c r="S34" s="18" t="inlineStr"/>
      <c r="T34" s="19" t="inlineStr"/>
    </row>
  </sheetData>
  <autoFilter ref="A4:T34"/>
  <dataValidations count="2">
    <dataValidation sqref="O5:O34" showDropDown="0" showInputMessage="0" showErrorMessage="0" allowBlank="1" errorTitle="Invalid Status" error="Your entry is not in the list" promptTitle="Lead Status" prompt="Select status from the list" type="list">
      <formula1>"1. Uncontacted,2. Contacted,3. Meeting Pitched,4. Proposal Sent,5. Closed - Won,6. Closed - Lost"</formula1>
    </dataValidation>
    <dataValidation sqref="P5:P34" showDropDown="0" showInputMessage="0" showErrorMessage="0" allowBlank="1" errorTitle="Invalid Priority" error="Select High, Medium, or Low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COLD OUTREACH SCRIPTS &amp; ACTION PLAYBOOK</t>
        </is>
      </c>
    </row>
    <row r="3">
      <c r="B3" s="2" t="inlineStr">
        <is>
          <t>Direct templates distilled from deep-research-report.md</t>
        </is>
      </c>
    </row>
    <row r="6">
      <c r="B6" s="20" t="inlineStr">
        <is>
          <t>WhatsApp / SMS Quick Pitch</t>
        </is>
      </c>
      <c r="C6" s="4" t="n"/>
      <c r="D6" s="4" t="n"/>
      <c r="E6" s="4" t="n"/>
      <c r="F6" s="4" t="n"/>
    </row>
    <row r="7">
      <c r="B7" s="17" t="inlineStr">
        <is>
          <t>Hi [Name], Badal here from EBM Solutions in Aligarh. We help [Industry/Locks/Hospitals] in Aligarh automate their dealer inquiries and customer management. We built a solution that saved similar businesses 10+ hours a week and boosted inquiries by 40%. Could we do a quick 5-min call this week? Reply Y/N. (P.S. Reply STOP to opt-out)</t>
        </is>
      </c>
      <c r="C7" s="4" t="n"/>
      <c r="D7" s="4" t="n"/>
      <c r="E7" s="4" t="n"/>
      <c r="F7" s="4" t="n"/>
    </row>
    <row r="8">
      <c r="B8" s="4" t="n"/>
      <c r="C8" s="4" t="n"/>
      <c r="D8" s="4" t="n"/>
      <c r="E8" s="4" t="n"/>
      <c r="F8" s="4" t="n"/>
    </row>
    <row r="9">
      <c r="B9" s="4" t="n"/>
      <c r="C9" s="4" t="n"/>
      <c r="D9" s="4" t="n"/>
      <c r="E9" s="4" t="n"/>
      <c r="F9" s="4" t="n"/>
    </row>
    <row r="11">
      <c r="B11" s="20" t="inlineStr">
        <is>
          <t>Cold Email Pitch</t>
        </is>
      </c>
      <c r="C11" s="4" t="n"/>
      <c r="D11" s="4" t="n"/>
      <c r="E11" s="4" t="n"/>
      <c r="F11" s="4" t="n"/>
    </row>
    <row r="12">
      <c r="B12" s="17" t="inlineStr">
        <is>
          <t>Subject: Modernizing [Company Name]'s dealer &amp; sales operations
Hi [Decision Maker],
I noticed [Company Name]'s strong reputation in Aligarh. We recently worked with peer firms to implement [ebm_opportunity], which cut inquiry response times and drove qualified distributor leads.
Key advantage for [Company Name]:
• [outreach_hook]
Would you be open to a 10-minute introductory conversation this Thursday or Friday?
Best regards,
Badal Sharma | EBM Solutions
Phone: [Your Phone]
(Reply STOP to unsubscribe)</t>
        </is>
      </c>
      <c r="C12" s="4" t="n"/>
      <c r="D12" s="4" t="n"/>
      <c r="E12" s="4" t="n"/>
      <c r="F12" s="4" t="n"/>
    </row>
    <row r="13">
      <c r="B13" s="4" t="n"/>
      <c r="C13" s="4" t="n"/>
      <c r="D13" s="4" t="n"/>
      <c r="E13" s="4" t="n"/>
      <c r="F13" s="4" t="n"/>
    </row>
    <row r="14">
      <c r="B14" s="4" t="n"/>
      <c r="C14" s="4" t="n"/>
      <c r="D14" s="4" t="n"/>
      <c r="E14" s="4" t="n"/>
      <c r="F14" s="4" t="n"/>
    </row>
    <row r="16">
      <c r="B16" s="20" t="inlineStr">
        <is>
          <t>LinkedIn Connection Note</t>
        </is>
      </c>
      <c r="C16" s="4" t="n"/>
      <c r="D16" s="4" t="n"/>
      <c r="E16" s="4" t="n"/>
      <c r="F16" s="4" t="n"/>
    </row>
    <row r="17">
      <c r="B17" s="17" t="inlineStr">
        <is>
          <t>Hi [Name], I'm working with manufacturing and healthcare leaders in Uttar Pradesh to modernize their sales and dealer workflows. Would love to connect and share brief insights into digital catalog &amp; CRM automation!</t>
        </is>
      </c>
      <c r="C17" s="4" t="n"/>
      <c r="D17" s="4" t="n"/>
      <c r="E17" s="4" t="n"/>
      <c r="F17" s="4" t="n"/>
    </row>
    <row r="18">
      <c r="B18" s="4" t="n"/>
      <c r="C18" s="4" t="n"/>
      <c r="D18" s="4" t="n"/>
      <c r="E18" s="4" t="n"/>
      <c r="F18" s="4" t="n"/>
    </row>
    <row r="19">
      <c r="B19" s="4" t="n"/>
      <c r="C19" s="4" t="n"/>
      <c r="D19" s="4" t="n"/>
      <c r="E19" s="4" t="n"/>
      <c r="F19" s="4" t="n"/>
    </row>
    <row r="21">
      <c r="B21" s="20" t="inlineStr">
        <is>
          <t>Phone Call Script (Opening 30 Seconds)</t>
        </is>
      </c>
      <c r="C21" s="4" t="n"/>
      <c r="D21" s="4" t="n"/>
      <c r="E21" s="4" t="n"/>
      <c r="F21" s="4" t="n"/>
    </row>
    <row r="22">
      <c r="B22" s="17" t="inlineStr">
        <is>
          <t>"Namaste [Name / Manager], this is Badal from EBM Solutions in Aligarh. I know you're busy so I'll be brief. We specifically assist [Industry, e.g. lock manufacturers / hospitals] in Aligarh with custom digital systems for [ebm_opportunity]. I wanted to see who on your team handles operations and sales systems?"</t>
        </is>
      </c>
      <c r="C22" s="4" t="n"/>
      <c r="D22" s="4" t="n"/>
      <c r="E22" s="4" t="n"/>
      <c r="F22" s="4" t="n"/>
    </row>
    <row r="23">
      <c r="B23" s="4" t="n"/>
      <c r="C23" s="4" t="n"/>
      <c r="D23" s="4" t="n"/>
      <c r="E23" s="4" t="n"/>
      <c r="F23" s="4" t="n"/>
    </row>
    <row r="24">
      <c r="B24" s="4" t="n"/>
      <c r="C24" s="4" t="n"/>
      <c r="D24" s="4" t="n"/>
      <c r="E24" s="4" t="n"/>
      <c r="F24" s="4" t="n"/>
    </row>
  </sheetData>
  <mergeCells count="8">
    <mergeCell ref="B17:F19"/>
    <mergeCell ref="B21:F21"/>
    <mergeCell ref="B6:F6"/>
    <mergeCell ref="B12:F14"/>
    <mergeCell ref="B16:F16"/>
    <mergeCell ref="B7:F9"/>
    <mergeCell ref="B11:F11"/>
    <mergeCell ref="B22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8" customWidth="1" min="4" max="4"/>
    <col width="46" customWidth="1" min="5" max="5"/>
    <col width="34" customWidth="1" min="6" max="6"/>
  </cols>
  <sheetData>
    <row r="2">
      <c r="B2" s="1" t="inlineStr">
        <is>
          <t>30 / 60 / 90 DAY EXECUTION ROADMAP</t>
        </is>
      </c>
    </row>
    <row r="3">
      <c r="B3" s="2" t="inlineStr">
        <is>
          <t>Phased timeline for data enrichment, multi-channel outreach, and closing deals</t>
        </is>
      </c>
    </row>
    <row r="5">
      <c r="B5" s="7" t="inlineStr">
        <is>
          <t>Phase</t>
        </is>
      </c>
      <c r="C5" s="7" t="inlineStr">
        <is>
          <t>Timeframe</t>
        </is>
      </c>
      <c r="D5" s="7" t="inlineStr">
        <is>
          <t>Core Objective</t>
        </is>
      </c>
      <c r="E5" s="7" t="inlineStr">
        <is>
          <t>Key Action Items</t>
        </is>
      </c>
      <c r="F5" s="7" t="inlineStr">
        <is>
          <t>Success Target (KPI)</t>
        </is>
      </c>
    </row>
    <row r="6" ht="65" customHeight="1">
      <c r="B6" s="21" t="inlineStr">
        <is>
          <t>Phase 1: Foundation &amp; Audit</t>
        </is>
      </c>
      <c r="C6" s="18" t="inlineStr">
        <is>
          <t>Month 1 (Days 1–30)</t>
        </is>
      </c>
      <c r="D6" s="21" t="inlineStr">
        <is>
          <t>Data Enrichment &amp; CRM Setup</t>
        </is>
      </c>
      <c r="E6" s="19" t="inlineStr">
        <is>
          <t>• Audit all 30 pre-loaded leads in this sheet
• Fill in decision maker names, verified emails &amp; LinkedIn profiles
• Test WhatsApp &amp; email outreach scripts with top 5 lock manufacturers
• Ensure opt-out mechanics (STOP / Unsubscribe) are active</t>
        </is>
      </c>
      <c r="F6" s="19" t="inlineStr">
        <is>
          <t>100% records enriched with direct contacts; 15 initial conversations initiated</t>
        </is>
      </c>
    </row>
    <row r="7" ht="65" customHeight="1">
      <c r="B7" s="22" t="inlineStr">
        <is>
          <t>Phase 2: Active Multi-Channel Outreach</t>
        </is>
      </c>
      <c r="C7" s="16" t="inlineStr">
        <is>
          <t>Month 2 (Days 31–60)</t>
        </is>
      </c>
      <c r="D7" s="22" t="inlineStr">
        <is>
          <t>Pipeline Velocity &amp; Pitches</t>
        </is>
      </c>
      <c r="E7" s="17" t="inlineStr">
        <is>
          <t>• Roll out WhatsApp &amp; email sequences to all 30 target leads
• Launch local Google Business Profile &amp; local SEO for EBM
• Conduct 8–10 discovery &amp; demo calls
• Send formal proposals for Dealer CRM / Custom Automation</t>
        </is>
      </c>
      <c r="F7" s="17" t="inlineStr">
        <is>
          <t>At least 6 formal proposals sent; 2 deals in final negotiation</t>
        </is>
      </c>
    </row>
    <row r="8" ht="65" customHeight="1">
      <c r="B8" s="21" t="inlineStr">
        <is>
          <t>Phase 3: Deal Closing &amp; Expansion</t>
        </is>
      </c>
      <c r="C8" s="18" t="inlineStr">
        <is>
          <t>Month 3 (Days 61–90)</t>
        </is>
      </c>
      <c r="D8" s="21" t="inlineStr">
        <is>
          <t>Closing &amp; Referral Engine</t>
        </is>
      </c>
      <c r="E8" s="19" t="inlineStr">
        <is>
          <t>• Close initial 2–3 pilot accounts (Offer introductory retainer/pilot discount)
• Implement client solutions &amp; measure time/cost savings
• Request testimonials and referrals to fellow Aligarh industrial units
• Expand pipeline to 30 additional regional accounts</t>
        </is>
      </c>
      <c r="F8" s="19" t="inlineStr">
        <is>
          <t>2–3 paying clients acquired; ₹1.5L+ in contracted revenue; 1 published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2026-10-08T06:12:00Z</dcterms:created>
  <dcterms:modified xsi:type="dcterms:W3CDTF">2026-10-08T06:12:00Z</dcterms:modified>
</cp:coreProperties>
</file>